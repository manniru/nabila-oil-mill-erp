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BILA OIL MILLS\Documents\"/>
    </mc:Choice>
  </mc:AlternateContent>
  <xr:revisionPtr revIDLastSave="0" documentId="8_{D433A6E8-2AA7-E243-B1F5-5056A7E6375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J34" i="1"/>
  <c r="K34" i="1"/>
  <c r="H44" i="1"/>
  <c r="M3" i="1"/>
  <c r="M4" i="1"/>
  <c r="M5" i="1"/>
  <c r="M6" i="1"/>
  <c r="M7" i="1"/>
  <c r="M8" i="1"/>
  <c r="M9" i="1"/>
  <c r="M10" i="1"/>
  <c r="M11" i="1"/>
  <c r="M12" i="1"/>
  <c r="M13" i="1"/>
  <c r="M2" i="1"/>
  <c r="M16" i="1"/>
</calcChain>
</file>

<file path=xl/sharedStrings.xml><?xml version="1.0" encoding="utf-8"?>
<sst xmlns="http://schemas.openxmlformats.org/spreadsheetml/2006/main" count="170" uniqueCount="75">
  <si>
    <t>S/N</t>
  </si>
  <si>
    <t>LOAD DATE</t>
  </si>
  <si>
    <t>TRANSPOTER</t>
  </si>
  <si>
    <t>TRUCKS NO</t>
  </si>
  <si>
    <t>PRODUCT</t>
  </si>
  <si>
    <t>DRIVER NAME</t>
  </si>
  <si>
    <t>DRIVER PHONE NUMBER</t>
  </si>
  <si>
    <t>FROM</t>
  </si>
  <si>
    <t>TO</t>
  </si>
  <si>
    <t>WAYBILL NUMBER</t>
  </si>
  <si>
    <t>WEIGHT QUANTITY LOADED</t>
  </si>
  <si>
    <t>PRICE</t>
  </si>
  <si>
    <t>HAULAGE AMOUNT</t>
  </si>
  <si>
    <t>NABILA OIL MILL</t>
  </si>
  <si>
    <t>KEF63YW</t>
  </si>
  <si>
    <t>JET A-1</t>
  </si>
  <si>
    <t>YUSUF ISMAIL</t>
  </si>
  <si>
    <t>07055153406</t>
  </si>
  <si>
    <t>DANGOTE REFINERY LAGOS</t>
  </si>
  <si>
    <t>NIAMEY NIGER</t>
  </si>
  <si>
    <t>AKW938XA</t>
  </si>
  <si>
    <t>JIBRIN MOHAMMED</t>
  </si>
  <si>
    <t>08063431169</t>
  </si>
  <si>
    <t>AKW959XA</t>
  </si>
  <si>
    <t>KABIRU ISAH</t>
  </si>
  <si>
    <t>AKW941XA</t>
  </si>
  <si>
    <t>AHMED ABDULHAMID</t>
  </si>
  <si>
    <t>08062913250</t>
  </si>
  <si>
    <t>AKW953XA</t>
  </si>
  <si>
    <t>ISHAQ MUHAMMAD</t>
  </si>
  <si>
    <t>08064213394</t>
  </si>
  <si>
    <t>KEF42YW</t>
  </si>
  <si>
    <t>JAMILU USMAN</t>
  </si>
  <si>
    <t>08166649492</t>
  </si>
  <si>
    <t>AKW954XA</t>
  </si>
  <si>
    <t>09034515631</t>
  </si>
  <si>
    <t>KEF63YM</t>
  </si>
  <si>
    <t>MOHAMMED JIBRIL</t>
  </si>
  <si>
    <t>KEF41YW</t>
  </si>
  <si>
    <t>MUSTAPHA</t>
  </si>
  <si>
    <t>080380300923</t>
  </si>
  <si>
    <t>AKW952XA</t>
  </si>
  <si>
    <t>IBRAHIM LIMAN</t>
  </si>
  <si>
    <t>08082195985</t>
  </si>
  <si>
    <t>NSW855XA</t>
  </si>
  <si>
    <t>ABUBAKAR USMAN</t>
  </si>
  <si>
    <t>08130330960</t>
  </si>
  <si>
    <t>PARTICULARS</t>
  </si>
  <si>
    <t>DATE</t>
  </si>
  <si>
    <t>AGO TO NIAMEY</t>
  </si>
  <si>
    <t>AMOUNT</t>
  </si>
  <si>
    <t>AGO FROM SOKOTO TO LAGOS</t>
  </si>
  <si>
    <t>TOTAL AGO</t>
  </si>
  <si>
    <t>1,500LTRS OF AGO @1,175/LTR FROM LAGOS TO NIGER REP</t>
  </si>
  <si>
    <t>500LTRS OF AGO @ 1,200/LTR FROM SOKOTO TO LAGOS</t>
  </si>
  <si>
    <t>500LTRS OF AGO @ 1,210/LTR FROM SOKOTO TO LAGOS</t>
  </si>
  <si>
    <t>500LTRS OF AGO @ 1,190/LTR FROM SOKOTO TO LAGOS</t>
  </si>
  <si>
    <t>1500LTRS OF AGO @ 1,175/LTR FROM LAGOS TO NIGER REP</t>
  </si>
  <si>
    <t>WORK DONE</t>
  </si>
  <si>
    <t>COMPARTMENT SERVICE</t>
  </si>
  <si>
    <t>TANK PAINT FOR 11 TRUCKS</t>
  </si>
  <si>
    <t>DIESEL</t>
  </si>
  <si>
    <t>PAYMENT</t>
  </si>
  <si>
    <t>BALANCE</t>
  </si>
  <si>
    <t>MOHAMMED SHAIBU</t>
  </si>
  <si>
    <t>08144133433</t>
  </si>
  <si>
    <t>27/8/2024</t>
  </si>
  <si>
    <t>31/8/2024</t>
  </si>
  <si>
    <t>24/9/2024</t>
  </si>
  <si>
    <t>SHORTAGES 3,789.75LTRS @ 1,200/LTR</t>
  </si>
  <si>
    <t>0/29/2024</t>
  </si>
  <si>
    <t>24/92024</t>
  </si>
  <si>
    <t xml:space="preserve">AKW939XA </t>
  </si>
  <si>
    <t>KASIMU</t>
  </si>
  <si>
    <t>08035276935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</si>
</sst>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u val="singleAccounting"/>
      <sz val="14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43" fontId="1" fillId="0" borderId="0" applyFont="0" applyFill="0" applyBorder="0" applyAlignment="0" applyProtection="0"/>
  </cellStyleXfs>
  <cellXfs count="26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43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0" fontId="5" fillId="0" borderId="0" xfId="0" applyFont="1"/>
    <xf numFmtId="43" fontId="3" fillId="0" borderId="1" xfId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0" fontId="5" fillId="0" borderId="1" xfId="0" applyFont="1" applyBorder="1"/>
    <xf numFmtId="43" fontId="7" fillId="0" borderId="1" xfId="1" applyFont="1" applyBorder="1" applyAlignment="1">
      <alignment horizontal="center"/>
    </xf>
    <xf numFmtId="0" fontId="8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3" fontId="6" fillId="0" borderId="1" xfId="1" applyFont="1" applyBorder="1" applyAlignment="1">
      <alignment horizontal="center" vertical="center" wrapText="1"/>
    </xf>
    <xf numFmtId="43" fontId="6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6" fillId="0" borderId="1" xfId="5" applyFont="1" applyBorder="1" applyAlignment="1">
      <alignment horizontal="center"/>
    </xf>
  </cellXfs>
  <cellStyles count="6">
    <cellStyle name="Comma 2" xfId="2" xr:uid="{00000000-0005-0000-0000-000000000000}"/>
    <cellStyle name="Comma 2 2" xfId="5" xr:uid="{00000000-0005-0000-0000-000001000000}"/>
    <cellStyle name="Comma 3" xfId="1" xr:uid="{00000000-0005-0000-0000-000002000000}"/>
    <cellStyle name="Normal" xfId="0" builtinId="0"/>
    <cellStyle name="Normal 2" xfId="3" xr:uid="{00000000-0005-0000-0000-000004000000}"/>
    <cellStyle name="Normal 4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topLeftCell="I15" workbookViewId="0">
      <selection activeCell="J40" sqref="J40"/>
    </sheetView>
  </sheetViews>
  <sheetFormatPr defaultRowHeight="15" x14ac:dyDescent="0.2"/>
  <cols>
    <col min="2" max="2" width="14.125" customWidth="1"/>
    <col min="3" max="3" width="17.484375" bestFit="1" customWidth="1"/>
    <col min="4" max="4" width="11.97265625" bestFit="1" customWidth="1"/>
    <col min="5" max="5" width="16.94921875" bestFit="1" customWidth="1"/>
    <col min="6" max="6" width="22.8671875" bestFit="1" customWidth="1"/>
    <col min="7" max="7" width="60.3984375" bestFit="1" customWidth="1"/>
    <col min="8" max="8" width="28.11328125" bestFit="1" customWidth="1"/>
    <col min="9" max="9" width="57.171875" bestFit="1" customWidth="1"/>
    <col min="10" max="10" width="18.29296875" bestFit="1" customWidth="1"/>
    <col min="11" max="11" width="19.7734375" bestFit="1" customWidth="1"/>
    <col min="12" max="12" width="6.45703125" bestFit="1" customWidth="1"/>
    <col min="13" max="13" width="19.7734375" bestFit="1" customWidth="1"/>
  </cols>
  <sheetData>
    <row r="1" spans="1:13" ht="30" x14ac:dyDescent="0.2">
      <c r="A1" s="16" t="s">
        <v>0</v>
      </c>
      <c r="B1" s="17" t="s">
        <v>1</v>
      </c>
      <c r="C1" s="16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8" t="s">
        <v>12</v>
      </c>
    </row>
    <row r="2" spans="1:13" x14ac:dyDescent="0.2">
      <c r="A2" s="16">
        <v>1</v>
      </c>
      <c r="B2" s="1" t="s">
        <v>66</v>
      </c>
      <c r="C2" s="2" t="s">
        <v>13</v>
      </c>
      <c r="D2" s="2" t="s">
        <v>14</v>
      </c>
      <c r="E2" s="2" t="s">
        <v>15</v>
      </c>
      <c r="F2" s="2" t="s">
        <v>16</v>
      </c>
      <c r="G2" s="3" t="s">
        <v>17</v>
      </c>
      <c r="H2" s="2" t="s">
        <v>18</v>
      </c>
      <c r="I2" s="2" t="s">
        <v>19</v>
      </c>
      <c r="J2" s="2">
        <v>8200004067</v>
      </c>
      <c r="K2" s="2">
        <v>45000</v>
      </c>
      <c r="L2" s="10">
        <v>95</v>
      </c>
      <c r="M2" s="11">
        <f>L2*K2</f>
        <v>4275000</v>
      </c>
    </row>
    <row r="3" spans="1:13" x14ac:dyDescent="0.2">
      <c r="A3" s="16">
        <v>2</v>
      </c>
      <c r="B3" s="1" t="s">
        <v>66</v>
      </c>
      <c r="C3" s="2" t="s">
        <v>13</v>
      </c>
      <c r="D3" s="2" t="s">
        <v>20</v>
      </c>
      <c r="E3" s="2" t="s">
        <v>15</v>
      </c>
      <c r="F3" s="2" t="s">
        <v>21</v>
      </c>
      <c r="G3" s="3" t="s">
        <v>22</v>
      </c>
      <c r="H3" s="2" t="s">
        <v>18</v>
      </c>
      <c r="I3" s="2" t="s">
        <v>19</v>
      </c>
      <c r="J3" s="2">
        <v>8200004069</v>
      </c>
      <c r="K3" s="2">
        <v>45000</v>
      </c>
      <c r="L3" s="10">
        <v>95</v>
      </c>
      <c r="M3" s="11">
        <f t="shared" ref="M3:M13" si="0">L3*K3</f>
        <v>4275000</v>
      </c>
    </row>
    <row r="4" spans="1:13" x14ac:dyDescent="0.2">
      <c r="A4" s="16">
        <v>3</v>
      </c>
      <c r="B4" s="1" t="s">
        <v>66</v>
      </c>
      <c r="C4" s="2" t="s">
        <v>13</v>
      </c>
      <c r="D4" s="2" t="s">
        <v>25</v>
      </c>
      <c r="E4" s="2" t="s">
        <v>15</v>
      </c>
      <c r="F4" s="2" t="s">
        <v>26</v>
      </c>
      <c r="G4" s="3" t="s">
        <v>27</v>
      </c>
      <c r="H4" s="2" t="s">
        <v>18</v>
      </c>
      <c r="I4" s="2" t="s">
        <v>19</v>
      </c>
      <c r="J4" s="2">
        <v>8200004155</v>
      </c>
      <c r="K4" s="2">
        <v>45000</v>
      </c>
      <c r="L4" s="10">
        <v>95</v>
      </c>
      <c r="M4" s="11">
        <f t="shared" si="0"/>
        <v>4275000</v>
      </c>
    </row>
    <row r="5" spans="1:13" x14ac:dyDescent="0.2">
      <c r="A5" s="16">
        <v>4</v>
      </c>
      <c r="B5" s="1" t="s">
        <v>66</v>
      </c>
      <c r="C5" s="2" t="s">
        <v>13</v>
      </c>
      <c r="D5" s="2" t="s">
        <v>28</v>
      </c>
      <c r="E5" s="2" t="s">
        <v>15</v>
      </c>
      <c r="F5" s="2" t="s">
        <v>29</v>
      </c>
      <c r="G5" s="3" t="s">
        <v>30</v>
      </c>
      <c r="H5" s="2" t="s">
        <v>18</v>
      </c>
      <c r="I5" s="2" t="s">
        <v>19</v>
      </c>
      <c r="J5" s="2">
        <v>8200004168</v>
      </c>
      <c r="K5" s="2">
        <v>45000</v>
      </c>
      <c r="L5" s="10">
        <v>95</v>
      </c>
      <c r="M5" s="11">
        <f t="shared" si="0"/>
        <v>4275000</v>
      </c>
    </row>
    <row r="6" spans="1:13" x14ac:dyDescent="0.2">
      <c r="A6" s="16">
        <v>5</v>
      </c>
      <c r="B6" s="1" t="s">
        <v>67</v>
      </c>
      <c r="C6" s="2" t="s">
        <v>13</v>
      </c>
      <c r="D6" s="2" t="s">
        <v>31</v>
      </c>
      <c r="E6" s="2" t="s">
        <v>15</v>
      </c>
      <c r="F6" s="2" t="s">
        <v>32</v>
      </c>
      <c r="G6" s="3" t="s">
        <v>33</v>
      </c>
      <c r="H6" s="2" t="s">
        <v>18</v>
      </c>
      <c r="I6" s="2" t="s">
        <v>19</v>
      </c>
      <c r="J6" s="2">
        <v>8200004166</v>
      </c>
      <c r="K6" s="2">
        <v>45000</v>
      </c>
      <c r="L6" s="10">
        <v>95</v>
      </c>
      <c r="M6" s="11">
        <f t="shared" si="0"/>
        <v>4275000</v>
      </c>
    </row>
    <row r="7" spans="1:13" x14ac:dyDescent="0.2">
      <c r="A7" s="16">
        <v>6</v>
      </c>
      <c r="B7" s="20">
        <v>45635</v>
      </c>
      <c r="C7" s="2" t="s">
        <v>13</v>
      </c>
      <c r="D7" s="21" t="s">
        <v>34</v>
      </c>
      <c r="E7" s="21" t="s">
        <v>15</v>
      </c>
      <c r="F7" s="21" t="s">
        <v>64</v>
      </c>
      <c r="G7" s="22" t="s">
        <v>35</v>
      </c>
      <c r="H7" s="21" t="s">
        <v>18</v>
      </c>
      <c r="I7" s="21" t="s">
        <v>19</v>
      </c>
      <c r="J7" s="21">
        <v>4900015858</v>
      </c>
      <c r="K7" s="21">
        <v>45000</v>
      </c>
      <c r="L7" s="10">
        <v>95</v>
      </c>
      <c r="M7" s="11">
        <f t="shared" si="0"/>
        <v>4275000</v>
      </c>
    </row>
    <row r="8" spans="1:13" x14ac:dyDescent="0.2">
      <c r="A8" s="16">
        <v>7</v>
      </c>
      <c r="B8" s="20">
        <v>45635</v>
      </c>
      <c r="C8" s="2" t="s">
        <v>13</v>
      </c>
      <c r="D8" s="2" t="s">
        <v>23</v>
      </c>
      <c r="E8" s="2" t="s">
        <v>15</v>
      </c>
      <c r="F8" s="2" t="s">
        <v>24</v>
      </c>
      <c r="G8" s="3" t="s">
        <v>65</v>
      </c>
      <c r="H8" s="2" t="s">
        <v>18</v>
      </c>
      <c r="I8" s="21" t="s">
        <v>19</v>
      </c>
      <c r="J8" s="2">
        <v>4900016119</v>
      </c>
      <c r="K8" s="2">
        <v>45000</v>
      </c>
      <c r="L8" s="10">
        <v>95</v>
      </c>
      <c r="M8" s="11">
        <f t="shared" si="0"/>
        <v>4275000</v>
      </c>
    </row>
    <row r="9" spans="1:13" x14ac:dyDescent="0.2">
      <c r="A9" s="16">
        <v>8</v>
      </c>
      <c r="B9" s="1" t="s">
        <v>68</v>
      </c>
      <c r="C9" s="2" t="s">
        <v>13</v>
      </c>
      <c r="D9" s="2" t="s">
        <v>36</v>
      </c>
      <c r="E9" s="2" t="s">
        <v>15</v>
      </c>
      <c r="F9" s="2" t="s">
        <v>16</v>
      </c>
      <c r="G9" s="3" t="s">
        <v>17</v>
      </c>
      <c r="H9" s="2" t="s">
        <v>18</v>
      </c>
      <c r="I9" s="21" t="s">
        <v>19</v>
      </c>
      <c r="J9" s="2">
        <v>4900018696</v>
      </c>
      <c r="K9" s="2">
        <v>45000</v>
      </c>
      <c r="L9" s="10">
        <v>95</v>
      </c>
      <c r="M9" s="11">
        <f t="shared" si="0"/>
        <v>4275000</v>
      </c>
    </row>
    <row r="10" spans="1:13" x14ac:dyDescent="0.2">
      <c r="A10" s="16">
        <v>9</v>
      </c>
      <c r="B10" s="1" t="s">
        <v>68</v>
      </c>
      <c r="C10" s="2" t="s">
        <v>13</v>
      </c>
      <c r="D10" s="2" t="s">
        <v>20</v>
      </c>
      <c r="E10" s="2" t="s">
        <v>15</v>
      </c>
      <c r="F10" s="2" t="s">
        <v>37</v>
      </c>
      <c r="G10" s="3" t="s">
        <v>22</v>
      </c>
      <c r="H10" s="2" t="s">
        <v>18</v>
      </c>
      <c r="I10" s="21" t="s">
        <v>19</v>
      </c>
      <c r="J10" s="2">
        <v>4900018706</v>
      </c>
      <c r="K10" s="2">
        <v>45000</v>
      </c>
      <c r="L10" s="10">
        <v>95</v>
      </c>
      <c r="M10" s="11">
        <f t="shared" si="0"/>
        <v>4275000</v>
      </c>
    </row>
    <row r="11" spans="1:13" x14ac:dyDescent="0.2">
      <c r="A11" s="16">
        <v>10</v>
      </c>
      <c r="B11" s="1" t="s">
        <v>68</v>
      </c>
      <c r="C11" s="2" t="s">
        <v>13</v>
      </c>
      <c r="D11" s="2" t="s">
        <v>38</v>
      </c>
      <c r="E11" s="2" t="s">
        <v>15</v>
      </c>
      <c r="F11" s="2" t="s">
        <v>39</v>
      </c>
      <c r="G11" s="3" t="s">
        <v>40</v>
      </c>
      <c r="H11" s="2" t="s">
        <v>18</v>
      </c>
      <c r="I11" s="21" t="s">
        <v>19</v>
      </c>
      <c r="J11" s="2"/>
      <c r="K11" s="2">
        <v>45000</v>
      </c>
      <c r="L11" s="10">
        <v>95</v>
      </c>
      <c r="M11" s="11">
        <f t="shared" si="0"/>
        <v>4275000</v>
      </c>
    </row>
    <row r="12" spans="1:13" x14ac:dyDescent="0.2">
      <c r="A12" s="16">
        <v>11</v>
      </c>
      <c r="B12" s="1" t="s">
        <v>68</v>
      </c>
      <c r="C12" s="2" t="s">
        <v>13</v>
      </c>
      <c r="D12" s="2" t="s">
        <v>41</v>
      </c>
      <c r="E12" s="2" t="s">
        <v>15</v>
      </c>
      <c r="F12" s="2" t="s">
        <v>42</v>
      </c>
      <c r="G12" s="3" t="s">
        <v>43</v>
      </c>
      <c r="H12" s="2" t="s">
        <v>18</v>
      </c>
      <c r="I12" s="21" t="s">
        <v>19</v>
      </c>
      <c r="J12" s="2"/>
      <c r="K12" s="2">
        <v>45000</v>
      </c>
      <c r="L12" s="10">
        <v>95</v>
      </c>
      <c r="M12" s="11">
        <f t="shared" si="0"/>
        <v>4275000</v>
      </c>
    </row>
    <row r="13" spans="1:13" x14ac:dyDescent="0.2">
      <c r="A13" s="16">
        <v>12</v>
      </c>
      <c r="B13" s="1" t="s">
        <v>68</v>
      </c>
      <c r="C13" s="2" t="s">
        <v>13</v>
      </c>
      <c r="D13" s="2" t="s">
        <v>44</v>
      </c>
      <c r="E13" s="2" t="s">
        <v>15</v>
      </c>
      <c r="F13" s="2" t="s">
        <v>45</v>
      </c>
      <c r="G13" s="3" t="s">
        <v>46</v>
      </c>
      <c r="H13" s="2" t="s">
        <v>18</v>
      </c>
      <c r="I13" s="21" t="s">
        <v>19</v>
      </c>
      <c r="J13" s="2"/>
      <c r="K13" s="2">
        <v>45000</v>
      </c>
      <c r="L13" s="10">
        <v>95</v>
      </c>
      <c r="M13" s="11">
        <f t="shared" si="0"/>
        <v>4275000</v>
      </c>
    </row>
    <row r="14" spans="1:13" x14ac:dyDescent="0.2">
      <c r="A14" s="16">
        <v>13</v>
      </c>
      <c r="B14" s="1" t="s">
        <v>71</v>
      </c>
      <c r="C14" s="2" t="s">
        <v>13</v>
      </c>
      <c r="D14" s="2" t="s">
        <v>72</v>
      </c>
      <c r="E14" s="2" t="s">
        <v>15</v>
      </c>
      <c r="F14" s="2" t="s">
        <v>73</v>
      </c>
      <c r="G14" s="3" t="s">
        <v>74</v>
      </c>
      <c r="H14" s="2" t="s">
        <v>18</v>
      </c>
      <c r="I14" s="2" t="s">
        <v>19</v>
      </c>
      <c r="J14" s="2"/>
      <c r="K14" s="2">
        <v>45000</v>
      </c>
      <c r="L14" s="10">
        <v>95</v>
      </c>
      <c r="M14" s="11">
        <v>4275000</v>
      </c>
    </row>
    <row r="15" spans="1:13" x14ac:dyDescent="0.2">
      <c r="A15" s="16"/>
      <c r="B15" s="1"/>
      <c r="C15" s="2"/>
      <c r="D15" s="2"/>
      <c r="E15" s="2"/>
      <c r="F15" s="2"/>
      <c r="G15" s="3"/>
      <c r="H15" s="2"/>
      <c r="I15" s="2"/>
      <c r="J15" s="2"/>
      <c r="K15" s="2"/>
      <c r="L15" s="10"/>
      <c r="M15" s="11"/>
    </row>
    <row r="16" spans="1:13" ht="18.75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3">
        <v>585000</v>
      </c>
      <c r="L16" s="14"/>
      <c r="M16" s="13">
        <f>SUM(M2:M15)</f>
        <v>55575000</v>
      </c>
    </row>
    <row r="17" spans="1:13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18.75" x14ac:dyDescent="0.25">
      <c r="A19" s="8"/>
      <c r="B19" s="8"/>
      <c r="C19" s="8"/>
      <c r="D19" s="5" t="s">
        <v>0</v>
      </c>
      <c r="E19" s="5" t="s">
        <v>47</v>
      </c>
      <c r="F19" s="5" t="s">
        <v>48</v>
      </c>
      <c r="G19" s="5" t="s">
        <v>49</v>
      </c>
      <c r="H19" s="6" t="s">
        <v>50</v>
      </c>
      <c r="I19" s="5" t="s">
        <v>51</v>
      </c>
      <c r="J19" s="6" t="s">
        <v>50</v>
      </c>
      <c r="K19" s="6" t="s">
        <v>52</v>
      </c>
      <c r="L19" s="8"/>
      <c r="M19" s="8"/>
    </row>
    <row r="20" spans="1:13" x14ac:dyDescent="0.2">
      <c r="A20" s="8"/>
      <c r="B20" s="8"/>
      <c r="C20" s="8"/>
      <c r="D20" s="15">
        <v>1</v>
      </c>
      <c r="E20" s="15" t="s">
        <v>14</v>
      </c>
      <c r="F20" s="23">
        <v>45534</v>
      </c>
      <c r="G20" s="15" t="s">
        <v>53</v>
      </c>
      <c r="H20" s="24">
        <v>1762500</v>
      </c>
      <c r="I20" s="15" t="s">
        <v>54</v>
      </c>
      <c r="J20" s="24">
        <v>600000</v>
      </c>
      <c r="K20" s="24">
        <v>2362500</v>
      </c>
      <c r="L20" s="8"/>
      <c r="M20" s="8"/>
    </row>
    <row r="21" spans="1:13" x14ac:dyDescent="0.2">
      <c r="A21" s="8"/>
      <c r="B21" s="8"/>
      <c r="C21" s="8"/>
      <c r="D21" s="15">
        <v>2</v>
      </c>
      <c r="E21" s="15" t="s">
        <v>20</v>
      </c>
      <c r="F21" s="23">
        <v>45534</v>
      </c>
      <c r="G21" s="15" t="s">
        <v>53</v>
      </c>
      <c r="H21" s="24">
        <v>1762500</v>
      </c>
      <c r="I21" s="15" t="s">
        <v>55</v>
      </c>
      <c r="J21" s="24">
        <v>605000</v>
      </c>
      <c r="K21" s="24">
        <v>2367500</v>
      </c>
      <c r="L21" s="8"/>
      <c r="M21" s="8"/>
    </row>
    <row r="22" spans="1:13" x14ac:dyDescent="0.2">
      <c r="A22" s="8"/>
      <c r="B22" s="8"/>
      <c r="C22" s="8"/>
      <c r="D22" s="15">
        <v>3</v>
      </c>
      <c r="E22" s="15" t="s">
        <v>23</v>
      </c>
      <c r="F22" s="23">
        <v>45534</v>
      </c>
      <c r="G22" s="15" t="s">
        <v>53</v>
      </c>
      <c r="H22" s="24">
        <v>1762500</v>
      </c>
      <c r="I22" s="15" t="s">
        <v>56</v>
      </c>
      <c r="J22" s="25">
        <v>590000</v>
      </c>
      <c r="K22" s="24">
        <v>2352500</v>
      </c>
      <c r="L22" s="8"/>
      <c r="M22" s="8"/>
    </row>
    <row r="23" spans="1:13" x14ac:dyDescent="0.2">
      <c r="A23" s="8"/>
      <c r="B23" s="8"/>
      <c r="C23" s="8"/>
      <c r="D23" s="15">
        <v>4</v>
      </c>
      <c r="E23" s="15" t="s">
        <v>25</v>
      </c>
      <c r="F23" s="23">
        <v>45534</v>
      </c>
      <c r="G23" s="15" t="s">
        <v>53</v>
      </c>
      <c r="H23" s="24">
        <v>1762500</v>
      </c>
      <c r="I23" s="15" t="s">
        <v>55</v>
      </c>
      <c r="J23" s="24">
        <v>605000</v>
      </c>
      <c r="K23" s="24">
        <v>2367500</v>
      </c>
      <c r="L23" s="8"/>
      <c r="M23" s="8"/>
    </row>
    <row r="24" spans="1:13" x14ac:dyDescent="0.2">
      <c r="A24" s="8"/>
      <c r="B24" s="8"/>
      <c r="C24" s="8"/>
      <c r="D24" s="15">
        <v>5</v>
      </c>
      <c r="E24" s="15" t="s">
        <v>31</v>
      </c>
      <c r="F24" s="23">
        <v>45534</v>
      </c>
      <c r="G24" s="15" t="s">
        <v>53</v>
      </c>
      <c r="H24" s="24">
        <v>1762500</v>
      </c>
      <c r="I24" s="15" t="s">
        <v>54</v>
      </c>
      <c r="J24" s="24">
        <v>600000</v>
      </c>
      <c r="K24" s="24">
        <v>2362500</v>
      </c>
      <c r="L24" s="8"/>
      <c r="M24" s="8"/>
    </row>
    <row r="25" spans="1:13" x14ac:dyDescent="0.2">
      <c r="A25" s="8"/>
      <c r="B25" s="8"/>
      <c r="C25" s="8"/>
      <c r="D25" s="15">
        <v>6</v>
      </c>
      <c r="E25" s="15" t="s">
        <v>34</v>
      </c>
      <c r="F25" s="23">
        <v>45541</v>
      </c>
      <c r="G25" s="15" t="s">
        <v>53</v>
      </c>
      <c r="H25" s="24">
        <v>1762500</v>
      </c>
      <c r="I25" s="15" t="s">
        <v>55</v>
      </c>
      <c r="J25" s="25">
        <v>605000</v>
      </c>
      <c r="K25" s="24">
        <v>2367500</v>
      </c>
      <c r="L25" s="8"/>
      <c r="M25" s="8"/>
    </row>
    <row r="26" spans="1:13" x14ac:dyDescent="0.2">
      <c r="A26" s="8"/>
      <c r="B26" s="8"/>
      <c r="C26" s="8"/>
      <c r="D26" s="15">
        <v>7</v>
      </c>
      <c r="E26" s="15" t="s">
        <v>28</v>
      </c>
      <c r="F26" s="23">
        <v>45541</v>
      </c>
      <c r="G26" s="15" t="s">
        <v>53</v>
      </c>
      <c r="H26" s="24">
        <v>1762500</v>
      </c>
      <c r="I26" s="15" t="s">
        <v>55</v>
      </c>
      <c r="J26" s="25">
        <v>605000</v>
      </c>
      <c r="K26" s="24">
        <v>2367500</v>
      </c>
      <c r="L26" s="8"/>
      <c r="M26" s="8"/>
    </row>
    <row r="27" spans="1:13" x14ac:dyDescent="0.2">
      <c r="A27" s="8"/>
      <c r="B27" s="8"/>
      <c r="C27" s="8"/>
      <c r="D27" s="15">
        <v>8</v>
      </c>
      <c r="E27" s="15" t="s">
        <v>14</v>
      </c>
      <c r="F27" s="23">
        <v>45549</v>
      </c>
      <c r="G27" s="15" t="s">
        <v>53</v>
      </c>
      <c r="H27" s="24">
        <v>1762500</v>
      </c>
      <c r="I27" s="15" t="s">
        <v>55</v>
      </c>
      <c r="J27" s="24">
        <v>605000</v>
      </c>
      <c r="K27" s="24">
        <v>2367500</v>
      </c>
      <c r="L27" s="8"/>
      <c r="M27" s="8"/>
    </row>
    <row r="28" spans="1:13" x14ac:dyDescent="0.2">
      <c r="A28" s="8"/>
      <c r="B28" s="8"/>
      <c r="C28" s="8"/>
      <c r="D28" s="15">
        <v>9</v>
      </c>
      <c r="E28" s="15" t="s">
        <v>20</v>
      </c>
      <c r="F28" s="1">
        <v>45553</v>
      </c>
      <c r="G28" s="15" t="s">
        <v>53</v>
      </c>
      <c r="H28" s="24">
        <v>1762500</v>
      </c>
      <c r="I28" s="23" t="s">
        <v>54</v>
      </c>
      <c r="J28" s="24">
        <v>600000</v>
      </c>
      <c r="K28" s="24">
        <v>2362500</v>
      </c>
      <c r="L28" s="8"/>
      <c r="M28" s="8"/>
    </row>
    <row r="29" spans="1:13" x14ac:dyDescent="0.2">
      <c r="A29" s="8"/>
      <c r="B29" s="8"/>
      <c r="C29" s="8"/>
      <c r="D29" s="15">
        <v>10</v>
      </c>
      <c r="E29" s="15" t="s">
        <v>38</v>
      </c>
      <c r="F29" s="1">
        <v>45553</v>
      </c>
      <c r="G29" s="15" t="s">
        <v>53</v>
      </c>
      <c r="H29" s="24">
        <v>1762500</v>
      </c>
      <c r="I29" s="15" t="s">
        <v>55</v>
      </c>
      <c r="J29" s="25">
        <v>605000</v>
      </c>
      <c r="K29" s="24">
        <v>2367500</v>
      </c>
      <c r="L29" s="8"/>
      <c r="M29" s="8"/>
    </row>
    <row r="30" spans="1:13" x14ac:dyDescent="0.2">
      <c r="A30" s="8"/>
      <c r="B30" s="8"/>
      <c r="C30" s="8"/>
      <c r="D30" s="15">
        <v>11</v>
      </c>
      <c r="E30" s="15" t="s">
        <v>41</v>
      </c>
      <c r="F30" s="1">
        <v>45564</v>
      </c>
      <c r="G30" s="23" t="s">
        <v>57</v>
      </c>
      <c r="H30" s="24">
        <v>1762500</v>
      </c>
      <c r="I30" s="23" t="s">
        <v>54</v>
      </c>
      <c r="J30" s="24">
        <v>600000</v>
      </c>
      <c r="K30" s="24">
        <v>2362500</v>
      </c>
      <c r="L30" s="8"/>
      <c r="M30" s="8"/>
    </row>
    <row r="31" spans="1:13" x14ac:dyDescent="0.2">
      <c r="A31" s="8"/>
      <c r="B31" s="8"/>
      <c r="C31" s="8"/>
      <c r="D31" s="15">
        <v>12</v>
      </c>
      <c r="E31" s="15" t="s">
        <v>44</v>
      </c>
      <c r="F31" s="1">
        <v>45564</v>
      </c>
      <c r="G31" s="23" t="s">
        <v>57</v>
      </c>
      <c r="H31" s="24">
        <v>1762500</v>
      </c>
      <c r="I31" s="23" t="s">
        <v>54</v>
      </c>
      <c r="J31" s="24">
        <v>600000</v>
      </c>
      <c r="K31" s="24">
        <v>2362500</v>
      </c>
      <c r="L31" s="8"/>
      <c r="M31" s="8"/>
    </row>
    <row r="32" spans="1:13" x14ac:dyDescent="0.2">
      <c r="A32" s="8"/>
      <c r="B32" s="8"/>
      <c r="C32" s="8"/>
      <c r="D32" s="15">
        <v>13</v>
      </c>
      <c r="E32" s="15" t="s">
        <v>72</v>
      </c>
      <c r="F32" s="1" t="s">
        <v>70</v>
      </c>
      <c r="G32" s="23" t="s">
        <v>57</v>
      </c>
      <c r="H32" s="24">
        <v>1762500</v>
      </c>
      <c r="I32" s="23" t="s">
        <v>56</v>
      </c>
      <c r="J32" s="24">
        <v>600000</v>
      </c>
      <c r="K32" s="24">
        <v>2362500</v>
      </c>
      <c r="L32" s="8"/>
      <c r="M32" s="8"/>
    </row>
    <row r="33" spans="1:13" x14ac:dyDescent="0.2">
      <c r="A33" s="8"/>
      <c r="B33" s="8"/>
      <c r="C33" s="8"/>
      <c r="D33" s="15"/>
      <c r="E33" s="15"/>
      <c r="F33" s="1"/>
      <c r="G33" s="23"/>
      <c r="H33" s="24"/>
      <c r="I33" s="23"/>
      <c r="J33" s="24"/>
      <c r="K33" s="24"/>
      <c r="L33" s="8"/>
      <c r="M33" s="8"/>
    </row>
    <row r="34" spans="1:13" ht="21" x14ac:dyDescent="0.4">
      <c r="A34" s="8"/>
      <c r="B34" s="8"/>
      <c r="C34" s="8"/>
      <c r="D34" s="15"/>
      <c r="E34" s="15"/>
      <c r="F34" s="23"/>
      <c r="G34" s="15"/>
      <c r="H34" s="4">
        <f>SUM(H20:H33)</f>
        <v>22912500</v>
      </c>
      <c r="I34" s="15"/>
      <c r="J34" s="4">
        <f>SUM(J20:J33)</f>
        <v>7820000</v>
      </c>
      <c r="K34" s="4">
        <f>SUM(K20:K33)</f>
        <v>30732500</v>
      </c>
      <c r="L34" s="8"/>
      <c r="M34" s="8"/>
    </row>
    <row r="35" spans="1:13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 ht="18.75" x14ac:dyDescent="0.25">
      <c r="A38" s="8"/>
      <c r="B38" s="8"/>
      <c r="C38" s="8"/>
      <c r="D38" s="8"/>
      <c r="E38" s="8"/>
      <c r="F38" s="8"/>
      <c r="G38" s="19" t="s">
        <v>58</v>
      </c>
      <c r="H38" s="7">
        <v>55575000</v>
      </c>
      <c r="I38" s="8"/>
      <c r="J38" s="8"/>
      <c r="K38" s="8"/>
      <c r="L38" s="8"/>
      <c r="M38" s="8"/>
    </row>
    <row r="39" spans="1:13" ht="18.75" x14ac:dyDescent="0.25">
      <c r="A39" s="8"/>
      <c r="B39" s="8"/>
      <c r="C39" s="8"/>
      <c r="D39" s="8"/>
      <c r="E39" s="8"/>
      <c r="F39" s="8"/>
      <c r="G39" s="19" t="s">
        <v>59</v>
      </c>
      <c r="H39" s="7">
        <v>375000</v>
      </c>
      <c r="I39" s="8"/>
      <c r="J39" s="8"/>
      <c r="K39" s="8"/>
      <c r="L39" s="8"/>
      <c r="M39" s="8"/>
    </row>
    <row r="40" spans="1:13" ht="18.75" x14ac:dyDescent="0.25">
      <c r="A40" s="8"/>
      <c r="B40" s="8"/>
      <c r="C40" s="8"/>
      <c r="D40" s="8"/>
      <c r="E40" s="8"/>
      <c r="F40" s="8"/>
      <c r="G40" s="19" t="s">
        <v>60</v>
      </c>
      <c r="H40" s="7">
        <v>1650000</v>
      </c>
      <c r="I40" s="8"/>
      <c r="J40" s="8"/>
      <c r="K40" s="8"/>
      <c r="L40" s="8"/>
      <c r="M40" s="8"/>
    </row>
    <row r="41" spans="1:13" ht="18.75" x14ac:dyDescent="0.25">
      <c r="A41" s="8"/>
      <c r="B41" s="8"/>
      <c r="C41" s="8"/>
      <c r="D41" s="8"/>
      <c r="E41" s="8"/>
      <c r="F41" s="8"/>
      <c r="G41" s="19" t="s">
        <v>61</v>
      </c>
      <c r="H41" s="7">
        <v>30732500</v>
      </c>
      <c r="I41" s="8"/>
      <c r="J41" s="8"/>
      <c r="K41" s="8"/>
      <c r="L41" s="8"/>
      <c r="M41" s="8"/>
    </row>
    <row r="42" spans="1:13" ht="18.75" x14ac:dyDescent="0.25">
      <c r="A42" s="8"/>
      <c r="B42" s="8"/>
      <c r="C42" s="8"/>
      <c r="D42" s="8"/>
      <c r="E42" s="8"/>
      <c r="F42" s="8"/>
      <c r="G42" s="19" t="s">
        <v>69</v>
      </c>
      <c r="H42" s="7">
        <v>4547700</v>
      </c>
      <c r="I42" s="8"/>
      <c r="J42" s="8"/>
      <c r="K42" s="8"/>
      <c r="L42" s="8"/>
      <c r="M42" s="8"/>
    </row>
    <row r="43" spans="1:13" ht="18.75" x14ac:dyDescent="0.25">
      <c r="A43" s="8"/>
      <c r="B43" s="8"/>
      <c r="C43" s="8"/>
      <c r="D43" s="8"/>
      <c r="E43" s="8"/>
      <c r="F43" s="8"/>
      <c r="G43" s="19" t="s">
        <v>62</v>
      </c>
      <c r="H43" s="7">
        <v>14000000</v>
      </c>
      <c r="I43" s="8"/>
      <c r="J43" s="8"/>
      <c r="K43" s="8"/>
      <c r="L43" s="8"/>
      <c r="M43" s="8"/>
    </row>
    <row r="44" spans="1:13" ht="21" x14ac:dyDescent="0.4">
      <c r="A44" s="8"/>
      <c r="B44" s="8"/>
      <c r="C44" s="8"/>
      <c r="D44" s="8"/>
      <c r="E44" s="8"/>
      <c r="F44" s="8"/>
      <c r="G44" s="7" t="s">
        <v>63</v>
      </c>
      <c r="H44" s="9">
        <f>H38-H39-H40-H41-H42-H43</f>
        <v>4269800</v>
      </c>
      <c r="I44" s="8"/>
      <c r="J44" s="8"/>
      <c r="K44" s="8"/>
      <c r="L44" s="8"/>
      <c r="M4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CHUKS</dc:creator>
  <cp:lastModifiedBy>NABILA OIL MILLS</cp:lastModifiedBy>
  <dcterms:created xsi:type="dcterms:W3CDTF">2024-12-11T12:54:13Z</dcterms:created>
  <dcterms:modified xsi:type="dcterms:W3CDTF">2024-12-12T12:15:17Z</dcterms:modified>
</cp:coreProperties>
</file>