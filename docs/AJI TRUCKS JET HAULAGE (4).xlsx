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xr:revisionPtr revIDLastSave="0" documentId="8_{475E5840-2C85-7248-A0ED-1577D314A3CA}" xr6:coauthVersionLast="47" xr6:coauthVersionMax="47" xr10:uidLastSave="{00000000-0000-0000-0000-000000000000}"/>
  <bookViews>
    <workbookView xWindow="240" yWindow="30" windowWidth="20115" windowHeight="801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H20" i="2"/>
  <c r="J12" i="2"/>
  <c r="J13" i="2"/>
  <c r="J14" i="2"/>
  <c r="J15" i="2"/>
  <c r="J16" i="2"/>
  <c r="J17" i="2"/>
  <c r="K20" i="2"/>
  <c r="H29" i="2"/>
  <c r="H38" i="2"/>
  <c r="I20" i="2"/>
  <c r="K8" i="2"/>
  <c r="M5" i="2"/>
  <c r="M4" i="2"/>
  <c r="M3" i="2"/>
  <c r="M2" i="2"/>
  <c r="H26" i="1"/>
  <c r="K19" i="1"/>
  <c r="I19" i="1"/>
  <c r="J13" i="1"/>
  <c r="J14" i="1"/>
  <c r="J15" i="1"/>
  <c r="J16" i="1"/>
  <c r="J17" i="1"/>
  <c r="J19" i="1"/>
  <c r="H19" i="1"/>
  <c r="K9" i="1"/>
  <c r="M3" i="1"/>
  <c r="M4" i="1"/>
  <c r="M5" i="1"/>
  <c r="M6" i="1"/>
  <c r="M2" i="1"/>
  <c r="J20" i="2"/>
  <c r="M8" i="2"/>
  <c r="M9" i="1"/>
</calcChain>
</file>

<file path=xl/sharedStrings.xml><?xml version="1.0" encoding="utf-8"?>
<sst xmlns="http://schemas.openxmlformats.org/spreadsheetml/2006/main" count="154" uniqueCount="68">
  <si>
    <t>S/N</t>
  </si>
  <si>
    <t>LOAD DATE</t>
  </si>
  <si>
    <t>TRANSPOTER</t>
  </si>
  <si>
    <t>TRUCKS NO</t>
  </si>
  <si>
    <t>PRODUCT</t>
  </si>
  <si>
    <t>DRIVER NAME</t>
  </si>
  <si>
    <t>DRIVER PHONE NUMBER</t>
  </si>
  <si>
    <t>FROM</t>
  </si>
  <si>
    <t>TO</t>
  </si>
  <si>
    <t>WAYBILL NUMBER</t>
  </si>
  <si>
    <t>WEIGHT QUANTITY LOADED</t>
  </si>
  <si>
    <t>PRICE</t>
  </si>
  <si>
    <t>HAULAGE AMOUNT</t>
  </si>
  <si>
    <t>NABILA OIL MILL</t>
  </si>
  <si>
    <t>PARTICULARS</t>
  </si>
  <si>
    <t>DATE</t>
  </si>
  <si>
    <t>DESCRIPTION</t>
  </si>
  <si>
    <t xml:space="preserve">              </t>
  </si>
  <si>
    <t>WORK DONE</t>
  </si>
  <si>
    <t>DIESEL</t>
  </si>
  <si>
    <t>BALANCE</t>
  </si>
  <si>
    <t>TANK WASH &amp; COMPARTMENT SERVICE</t>
  </si>
  <si>
    <t>DKA894YF</t>
  </si>
  <si>
    <t>JET A-1</t>
  </si>
  <si>
    <t>LAMINU MUSTAPHA</t>
  </si>
  <si>
    <t>08061241486</t>
  </si>
  <si>
    <t>DANGOTE REFINERY LAGOS</t>
  </si>
  <si>
    <t>NIAMEY NIGER</t>
  </si>
  <si>
    <t>DKA995YF</t>
  </si>
  <si>
    <t>MUHAMMAD SANI</t>
  </si>
  <si>
    <t>08032166066</t>
  </si>
  <si>
    <t>AJG94XA</t>
  </si>
  <si>
    <t>USMAN ABUBAKAR</t>
  </si>
  <si>
    <t>08030455628</t>
  </si>
  <si>
    <t>HASSAN HAMISU</t>
  </si>
  <si>
    <t>08065663567</t>
  </si>
  <si>
    <t>NSR967YQ</t>
  </si>
  <si>
    <t>MOHAMMED ADO</t>
  </si>
  <si>
    <t>08065505434</t>
  </si>
  <si>
    <t>DKA992YF</t>
  </si>
  <si>
    <t>1550LTRS OF AGO @ 1,175/LTR TO NIAMEY</t>
  </si>
  <si>
    <t>1500LTRS OF AGO @ 1,175/LTR TO NIAMEY</t>
  </si>
  <si>
    <t>TOTAL AGO</t>
  </si>
  <si>
    <t>TRIP ALLOWANCE</t>
  </si>
  <si>
    <t>2 TYRES @ MOKWA</t>
  </si>
  <si>
    <t>AGO TO NIGER</t>
  </si>
  <si>
    <t>AGO FROM SOKOTO</t>
  </si>
  <si>
    <t>DKA993YF</t>
  </si>
  <si>
    <t>TRN17XX</t>
  </si>
  <si>
    <t>JET-A</t>
  </si>
  <si>
    <t>MOHAMMED SANI</t>
  </si>
  <si>
    <t>KADUNA</t>
  </si>
  <si>
    <t>BAUCHI</t>
  </si>
  <si>
    <t>1000LTRS OF AGO @ 1,160/LTR FROM LAGOS TO ABUJA</t>
  </si>
  <si>
    <t>TRANSLOADING EXPENSE @ NYANYA</t>
  </si>
  <si>
    <t>NSR967YF</t>
  </si>
  <si>
    <t>SIGN POLE EVACUATION @ NYANYA</t>
  </si>
  <si>
    <t>100LTRS OF AGO @ 1,160/LTR FOR LOCAL TRIP @ LAGOS</t>
  </si>
  <si>
    <t>REPAIR OF SIGN POLE FOR FED MIN OF HOUSING @ ABUJA</t>
  </si>
  <si>
    <t>100LTRS OF AGO TOP UP @ KADUNA @ 1,200/LTR</t>
  </si>
  <si>
    <t>1000LTRS OF AGO @ 1,160/LTR FROM LAGOS TO BAUCHI</t>
  </si>
  <si>
    <t>AGO TO DESTINATION</t>
  </si>
  <si>
    <t>AGO FROM DESTINATION</t>
  </si>
  <si>
    <t>TRUCK TOWING,ROAD SAFETY &amp; POLICE EXPENSES@ NYANYA</t>
  </si>
  <si>
    <t>MOHAMMED MUSA</t>
  </si>
  <si>
    <t>LAGOS</t>
  </si>
  <si>
    <t>07036560399</t>
  </si>
  <si>
    <t>ACCIDENT TRUCK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</si>
</sst>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  <scheme val="minor"/>
    </font>
    <font>
      <b/>
      <u val="singleAccounting"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  <font>
      <b/>
      <sz val="11.5"/>
      <name val="Calibri"/>
      <family val="2"/>
      <scheme val="minor"/>
    </font>
    <font>
      <b/>
      <sz val="11.5"/>
      <name val="Calibri"/>
      <family val="2"/>
    </font>
    <font>
      <sz val="11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/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3" fillId="0" borderId="1" xfId="2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0" xfId="0" applyFont="1"/>
    <xf numFmtId="14" fontId="7" fillId="0" borderId="1" xfId="0" applyNumberFormat="1" applyFont="1" applyBorder="1" applyAlignment="1">
      <alignment horizontal="center"/>
    </xf>
    <xf numFmtId="43" fontId="7" fillId="0" borderId="1" xfId="2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8" fillId="0" borderId="0" xfId="0" applyFont="1"/>
    <xf numFmtId="43" fontId="6" fillId="0" borderId="1" xfId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8" fillId="0" borderId="1" xfId="0" applyFont="1" applyBorder="1"/>
    <xf numFmtId="43" fontId="10" fillId="0" borderId="1" xfId="1" applyFont="1" applyBorder="1" applyAlignment="1">
      <alignment horizontal="center"/>
    </xf>
    <xf numFmtId="0" fontId="11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3" fontId="9" fillId="0" borderId="1" xfId="1" applyFont="1" applyBorder="1" applyAlignment="1">
      <alignment horizontal="center" vertical="center" wrapText="1"/>
    </xf>
    <xf numFmtId="0" fontId="5" fillId="2" borderId="1" xfId="0" applyFont="1" applyFill="1" applyBorder="1"/>
    <xf numFmtId="43" fontId="9" fillId="0" borderId="1" xfId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1" xfId="6" applyFont="1" applyBorder="1" applyAlignment="1">
      <alignment horizontal="center"/>
    </xf>
    <xf numFmtId="43" fontId="14" fillId="0" borderId="1" xfId="0" applyNumberFormat="1" applyFont="1" applyBorder="1"/>
    <xf numFmtId="164" fontId="14" fillId="0" borderId="1" xfId="0" applyNumberFormat="1" applyFont="1" applyBorder="1" applyAlignment="1">
      <alignment horizontal="center"/>
    </xf>
    <xf numFmtId="164" fontId="14" fillId="0" borderId="1" xfId="6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quotePrefix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43" fontId="16" fillId="2" borderId="1" xfId="1" applyFont="1" applyFill="1" applyBorder="1" applyAlignment="1">
      <alignment horizontal="center" vertical="center"/>
    </xf>
    <xf numFmtId="0" fontId="17" fillId="0" borderId="0" xfId="0" applyFont="1"/>
    <xf numFmtId="0" fontId="13" fillId="0" borderId="0" xfId="0" applyFont="1"/>
    <xf numFmtId="43" fontId="3" fillId="0" borderId="1" xfId="5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43" fontId="3" fillId="0" borderId="0" xfId="2" applyFont="1" applyBorder="1" applyAlignment="1">
      <alignment horizontal="center"/>
    </xf>
    <xf numFmtId="43" fontId="14" fillId="0" borderId="1" xfId="2" applyFont="1" applyBorder="1" applyAlignment="1">
      <alignment horizontal="center"/>
    </xf>
  </cellXfs>
  <cellStyles count="7">
    <cellStyle name="Comma" xfId="6" builtinId="3"/>
    <cellStyle name="Comma 2" xfId="2" xr:uid="{00000000-0005-0000-0000-000001000000}"/>
    <cellStyle name="Comma 2 2" xfId="5" xr:uid="{00000000-0005-0000-0000-000002000000}"/>
    <cellStyle name="Comma 3" xfId="1" xr:uid="{00000000-0005-0000-0000-000003000000}"/>
    <cellStyle name="Normal" xfId="0" builtinId="0"/>
    <cellStyle name="Normal 2" xfId="3" xr:uid="{00000000-0005-0000-0000-000005000000}"/>
    <cellStyle name="Normal 4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opLeftCell="B1" workbookViewId="0">
      <selection activeCell="G2" sqref="G2"/>
    </sheetView>
  </sheetViews>
  <sheetFormatPr defaultRowHeight="15" x14ac:dyDescent="0.2"/>
  <cols>
    <col min="2" max="2" width="12.10546875" bestFit="1" customWidth="1"/>
    <col min="3" max="3" width="17.484375" bestFit="1" customWidth="1"/>
    <col min="4" max="4" width="11.97265625" bestFit="1" customWidth="1"/>
    <col min="5" max="5" width="16.94921875" bestFit="1" customWidth="1"/>
    <col min="6" max="6" width="21.1171875" bestFit="1" customWidth="1"/>
    <col min="7" max="7" width="45.0625" customWidth="1"/>
    <col min="8" max="8" width="28.11328125" bestFit="1" customWidth="1"/>
    <col min="9" max="9" width="24.88671875" bestFit="1" customWidth="1"/>
    <col min="10" max="10" width="19.7734375" bestFit="1" customWidth="1"/>
    <col min="11" max="11" width="21.7890625" bestFit="1" customWidth="1"/>
    <col min="13" max="13" width="19.7734375" bestFit="1" customWidth="1"/>
  </cols>
  <sheetData>
    <row r="1" spans="1:13" ht="30" x14ac:dyDescent="0.2">
      <c r="A1" s="22" t="s">
        <v>0</v>
      </c>
      <c r="B1" s="23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4" t="s">
        <v>12</v>
      </c>
    </row>
    <row r="2" spans="1:13" s="39" customFormat="1" x14ac:dyDescent="0.2">
      <c r="A2" s="22">
        <v>1</v>
      </c>
      <c r="B2" s="2">
        <v>45528</v>
      </c>
      <c r="C2" s="3" t="s">
        <v>13</v>
      </c>
      <c r="D2" s="3" t="s">
        <v>22</v>
      </c>
      <c r="E2" s="3" t="s">
        <v>23</v>
      </c>
      <c r="F2" s="3" t="s">
        <v>24</v>
      </c>
      <c r="G2" s="4" t="s">
        <v>25</v>
      </c>
      <c r="H2" s="3" t="s">
        <v>26</v>
      </c>
      <c r="I2" s="3" t="s">
        <v>27</v>
      </c>
      <c r="J2" s="3">
        <v>8200003915</v>
      </c>
      <c r="K2" s="3">
        <v>50000</v>
      </c>
      <c r="L2" s="16">
        <v>100</v>
      </c>
      <c r="M2" s="17">
        <f>K2*L2</f>
        <v>5000000</v>
      </c>
    </row>
    <row r="3" spans="1:13" s="39" customFormat="1" x14ac:dyDescent="0.2">
      <c r="A3" s="22">
        <v>2</v>
      </c>
      <c r="B3" s="2">
        <v>45528</v>
      </c>
      <c r="C3" s="3" t="s">
        <v>13</v>
      </c>
      <c r="D3" s="3" t="s">
        <v>28</v>
      </c>
      <c r="E3" s="3" t="s">
        <v>23</v>
      </c>
      <c r="F3" s="3" t="s">
        <v>29</v>
      </c>
      <c r="G3" s="4" t="s">
        <v>30</v>
      </c>
      <c r="H3" s="3" t="s">
        <v>26</v>
      </c>
      <c r="I3" s="3" t="s">
        <v>27</v>
      </c>
      <c r="J3" s="3">
        <v>8200003929</v>
      </c>
      <c r="K3" s="3">
        <v>45000</v>
      </c>
      <c r="L3" s="16">
        <v>100</v>
      </c>
      <c r="M3" s="17">
        <f t="shared" ref="M3:M6" si="0">K3*L3</f>
        <v>4500000</v>
      </c>
    </row>
    <row r="4" spans="1:13" s="39" customFormat="1" x14ac:dyDescent="0.2">
      <c r="A4" s="22">
        <v>3</v>
      </c>
      <c r="B4" s="2">
        <v>45528</v>
      </c>
      <c r="C4" s="3" t="s">
        <v>13</v>
      </c>
      <c r="D4" s="3" t="s">
        <v>31</v>
      </c>
      <c r="E4" s="3" t="s">
        <v>23</v>
      </c>
      <c r="F4" s="3" t="s">
        <v>32</v>
      </c>
      <c r="G4" s="4" t="s">
        <v>33</v>
      </c>
      <c r="H4" s="3" t="s">
        <v>26</v>
      </c>
      <c r="I4" s="3" t="s">
        <v>27</v>
      </c>
      <c r="J4" s="3">
        <v>8200003917</v>
      </c>
      <c r="K4" s="3">
        <v>50000</v>
      </c>
      <c r="L4" s="16">
        <v>100</v>
      </c>
      <c r="M4" s="17">
        <f t="shared" si="0"/>
        <v>5000000</v>
      </c>
    </row>
    <row r="5" spans="1:13" s="39" customFormat="1" x14ac:dyDescent="0.2">
      <c r="A5" s="22">
        <v>4</v>
      </c>
      <c r="B5" s="2">
        <v>45528</v>
      </c>
      <c r="C5" s="3" t="s">
        <v>13</v>
      </c>
      <c r="D5" s="3" t="s">
        <v>39</v>
      </c>
      <c r="E5" s="3" t="s">
        <v>23</v>
      </c>
      <c r="F5" s="3" t="s">
        <v>34</v>
      </c>
      <c r="G5" s="4" t="s">
        <v>35</v>
      </c>
      <c r="H5" s="3" t="s">
        <v>26</v>
      </c>
      <c r="I5" s="3" t="s">
        <v>27</v>
      </c>
      <c r="J5" s="3">
        <v>8200003924</v>
      </c>
      <c r="K5" s="3">
        <v>45000</v>
      </c>
      <c r="L5" s="16">
        <v>100</v>
      </c>
      <c r="M5" s="17">
        <f t="shared" si="0"/>
        <v>4500000</v>
      </c>
    </row>
    <row r="6" spans="1:13" s="39" customFormat="1" x14ac:dyDescent="0.2">
      <c r="A6" s="22">
        <v>5</v>
      </c>
      <c r="B6" s="2">
        <v>45528</v>
      </c>
      <c r="C6" s="3" t="s">
        <v>13</v>
      </c>
      <c r="D6" s="3" t="s">
        <v>36</v>
      </c>
      <c r="E6" s="3" t="s">
        <v>23</v>
      </c>
      <c r="F6" s="3" t="s">
        <v>37</v>
      </c>
      <c r="G6" s="4" t="s">
        <v>38</v>
      </c>
      <c r="H6" s="3" t="s">
        <v>26</v>
      </c>
      <c r="I6" s="3" t="s">
        <v>27</v>
      </c>
      <c r="J6" s="3">
        <v>8200003916</v>
      </c>
      <c r="K6" s="3">
        <v>50000</v>
      </c>
      <c r="L6" s="16">
        <v>100</v>
      </c>
      <c r="M6" s="17">
        <f t="shared" si="0"/>
        <v>5000000</v>
      </c>
    </row>
    <row r="7" spans="1:13" s="38" customFormat="1" ht="15.75" x14ac:dyDescent="0.2">
      <c r="A7" s="32"/>
      <c r="B7" s="33"/>
      <c r="C7" s="34"/>
      <c r="D7" s="34"/>
      <c r="E7" s="34"/>
      <c r="F7" s="34"/>
      <c r="G7" s="35"/>
      <c r="H7" s="34"/>
      <c r="I7" s="34"/>
      <c r="J7" s="34"/>
      <c r="K7" s="34"/>
      <c r="L7" s="36"/>
      <c r="M7" s="37"/>
    </row>
    <row r="8" spans="1:13" x14ac:dyDescent="0.2">
      <c r="A8" s="25"/>
      <c r="B8" s="2"/>
      <c r="C8" s="3"/>
      <c r="D8" s="3"/>
      <c r="E8" s="3"/>
      <c r="F8" s="3"/>
      <c r="G8" s="4"/>
      <c r="H8" s="3"/>
      <c r="I8" s="3"/>
      <c r="J8" s="3"/>
      <c r="K8" s="3"/>
      <c r="L8" s="16"/>
      <c r="M8" s="17"/>
    </row>
    <row r="9" spans="1:13" ht="18.7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9">
        <f>SUM(K2:K8)</f>
        <v>240000</v>
      </c>
      <c r="L9" s="20"/>
      <c r="M9" s="19">
        <f>SUM(M2:M8)</f>
        <v>24000000</v>
      </c>
    </row>
    <row r="10" spans="1:13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 x14ac:dyDescent="0.2">
      <c r="A11" s="14"/>
      <c r="B11" s="14"/>
      <c r="C11" s="1"/>
      <c r="D11" s="1"/>
      <c r="E11" s="1"/>
      <c r="F11" s="1"/>
      <c r="G11" s="1"/>
      <c r="H11" s="14"/>
      <c r="I11" s="14"/>
      <c r="J11" s="14"/>
      <c r="K11" s="14"/>
      <c r="L11" s="14"/>
      <c r="M11" s="14"/>
    </row>
    <row r="12" spans="1:13" ht="18.75" x14ac:dyDescent="0.25">
      <c r="A12" s="14"/>
      <c r="B12" s="14"/>
      <c r="C12" s="10"/>
      <c r="D12" s="9" t="s">
        <v>0</v>
      </c>
      <c r="E12" s="9" t="s">
        <v>14</v>
      </c>
      <c r="F12" s="9" t="s">
        <v>15</v>
      </c>
      <c r="G12" s="9" t="s">
        <v>16</v>
      </c>
      <c r="H12" s="12" t="s">
        <v>45</v>
      </c>
      <c r="I12" s="9" t="s">
        <v>46</v>
      </c>
      <c r="J12" s="9" t="s">
        <v>42</v>
      </c>
      <c r="K12" s="9" t="s">
        <v>43</v>
      </c>
      <c r="L12" s="14"/>
      <c r="M12" s="14"/>
    </row>
    <row r="13" spans="1:13" x14ac:dyDescent="0.2">
      <c r="A13" s="14"/>
      <c r="B13" s="14"/>
      <c r="C13" s="10"/>
      <c r="D13" s="21">
        <v>1</v>
      </c>
      <c r="E13" s="5" t="s">
        <v>22</v>
      </c>
      <c r="F13" s="7">
        <v>45536</v>
      </c>
      <c r="G13" s="5" t="s">
        <v>40</v>
      </c>
      <c r="H13" s="6">
        <v>1821250</v>
      </c>
      <c r="I13" s="6">
        <v>605000</v>
      </c>
      <c r="J13" s="27">
        <f>I13+H13</f>
        <v>2426250</v>
      </c>
      <c r="K13" s="28">
        <v>120000</v>
      </c>
      <c r="L13" s="14"/>
      <c r="M13" s="14"/>
    </row>
    <row r="14" spans="1:13" x14ac:dyDescent="0.2">
      <c r="A14" s="14"/>
      <c r="B14" s="14"/>
      <c r="C14" s="10"/>
      <c r="D14" s="21">
        <v>2</v>
      </c>
      <c r="E14" s="5" t="s">
        <v>28</v>
      </c>
      <c r="F14" s="7">
        <v>45536</v>
      </c>
      <c r="G14" s="5" t="s">
        <v>41</v>
      </c>
      <c r="H14" s="6">
        <v>1762500</v>
      </c>
      <c r="I14" s="6">
        <v>605000</v>
      </c>
      <c r="J14" s="27">
        <f t="shared" ref="J14:J17" si="1">I14+H14</f>
        <v>2367500</v>
      </c>
      <c r="K14" s="28">
        <v>120000</v>
      </c>
      <c r="L14" s="14"/>
      <c r="M14" s="14"/>
    </row>
    <row r="15" spans="1:13" x14ac:dyDescent="0.2">
      <c r="A15" s="14"/>
      <c r="B15" s="14"/>
      <c r="C15" s="10"/>
      <c r="D15" s="21">
        <v>3</v>
      </c>
      <c r="E15" s="5" t="s">
        <v>31</v>
      </c>
      <c r="F15" s="7">
        <v>45536</v>
      </c>
      <c r="G15" s="5" t="s">
        <v>40</v>
      </c>
      <c r="H15" s="6">
        <v>1821250</v>
      </c>
      <c r="I15" s="6">
        <v>605000</v>
      </c>
      <c r="J15" s="27">
        <f t="shared" si="1"/>
        <v>2426250</v>
      </c>
      <c r="K15" s="28">
        <v>120000</v>
      </c>
      <c r="L15" s="14"/>
      <c r="M15" s="14"/>
    </row>
    <row r="16" spans="1:13" x14ac:dyDescent="0.2">
      <c r="A16" s="14"/>
      <c r="B16" s="14"/>
      <c r="C16" s="10"/>
      <c r="D16" s="21">
        <v>4</v>
      </c>
      <c r="E16" s="5" t="s">
        <v>39</v>
      </c>
      <c r="F16" s="7">
        <v>45536</v>
      </c>
      <c r="G16" s="5" t="s">
        <v>41</v>
      </c>
      <c r="H16" s="6">
        <v>1762500</v>
      </c>
      <c r="I16" s="6">
        <v>605000</v>
      </c>
      <c r="J16" s="27">
        <f t="shared" si="1"/>
        <v>2367500</v>
      </c>
      <c r="K16" s="28">
        <v>120000</v>
      </c>
      <c r="L16" s="14"/>
      <c r="M16" s="14"/>
    </row>
    <row r="17" spans="1:13" x14ac:dyDescent="0.2">
      <c r="A17" s="14"/>
      <c r="B17" s="14"/>
      <c r="C17" s="10"/>
      <c r="D17" s="21">
        <v>5</v>
      </c>
      <c r="E17" s="5" t="s">
        <v>36</v>
      </c>
      <c r="F17" s="7">
        <v>45536</v>
      </c>
      <c r="G17" s="5" t="s">
        <v>40</v>
      </c>
      <c r="H17" s="6">
        <v>1821250</v>
      </c>
      <c r="I17" s="6">
        <v>605000</v>
      </c>
      <c r="J17" s="27">
        <f t="shared" si="1"/>
        <v>2426250</v>
      </c>
      <c r="K17" s="28">
        <v>120000</v>
      </c>
      <c r="L17" s="14"/>
      <c r="M17" s="14"/>
    </row>
    <row r="18" spans="1:13" s="1" customFormat="1" x14ac:dyDescent="0.2">
      <c r="A18" s="14"/>
      <c r="B18" s="14"/>
      <c r="D18" s="21"/>
      <c r="E18" s="5"/>
      <c r="F18" s="2"/>
      <c r="G18" s="5"/>
      <c r="H18" s="6"/>
      <c r="I18" s="18"/>
      <c r="J18" s="21"/>
      <c r="K18" s="28"/>
      <c r="L18" s="14"/>
      <c r="M18" s="14"/>
    </row>
    <row r="19" spans="1:13" ht="21" x14ac:dyDescent="0.4">
      <c r="A19" s="1"/>
      <c r="B19" s="1"/>
      <c r="C19" s="1"/>
      <c r="D19" s="21"/>
      <c r="E19" s="9"/>
      <c r="F19" s="11"/>
      <c r="G19" s="9" t="s">
        <v>17</v>
      </c>
      <c r="H19" s="8">
        <f>SUM(H13:H17)</f>
        <v>8988750</v>
      </c>
      <c r="I19" s="29">
        <f>SUM(I13:I18)</f>
        <v>3025000</v>
      </c>
      <c r="J19" s="30">
        <f>SUM(J13:J18)</f>
        <v>12013750</v>
      </c>
      <c r="K19" s="31">
        <f>SUM(K13:K18)</f>
        <v>600000</v>
      </c>
      <c r="L19" s="1"/>
      <c r="M19" s="1"/>
    </row>
    <row r="20" spans="1:13" x14ac:dyDescent="0.2">
      <c r="A20" s="1"/>
      <c r="B20" s="1"/>
      <c r="C20" s="1"/>
      <c r="D20" s="14"/>
      <c r="E20" s="14"/>
      <c r="F20" s="14"/>
      <c r="G20" s="14"/>
      <c r="H20" s="14"/>
      <c r="I20" s="1"/>
      <c r="J20" s="1"/>
      <c r="K20" s="1"/>
      <c r="L20" s="1"/>
      <c r="M20" s="1"/>
    </row>
    <row r="22" spans="1:13" ht="18.75" x14ac:dyDescent="0.25">
      <c r="A22" s="1"/>
      <c r="B22" s="1"/>
      <c r="C22" s="1"/>
      <c r="D22" s="1"/>
      <c r="E22" s="1"/>
      <c r="F22" s="1"/>
      <c r="G22" s="26" t="s">
        <v>18</v>
      </c>
      <c r="H22" s="13">
        <v>24000000</v>
      </c>
      <c r="I22" s="1"/>
      <c r="J22" s="1"/>
      <c r="K22" s="1"/>
      <c r="L22" s="1"/>
      <c r="M22" s="1"/>
    </row>
    <row r="23" spans="1:13" ht="18.75" x14ac:dyDescent="0.25">
      <c r="A23" s="1"/>
      <c r="B23" s="1"/>
      <c r="C23" s="1"/>
      <c r="D23" s="1"/>
      <c r="E23" s="1"/>
      <c r="F23" s="1"/>
      <c r="G23" s="26" t="s">
        <v>21</v>
      </c>
      <c r="H23" s="13">
        <v>375000</v>
      </c>
      <c r="I23" s="1"/>
      <c r="J23" s="1"/>
      <c r="K23" s="1"/>
      <c r="L23" s="1"/>
      <c r="M23" s="1"/>
    </row>
    <row r="24" spans="1:13" ht="18.75" x14ac:dyDescent="0.25">
      <c r="A24" s="1"/>
      <c r="B24" s="1"/>
      <c r="C24" s="1"/>
      <c r="D24" s="1"/>
      <c r="E24" s="1"/>
      <c r="F24" s="1"/>
      <c r="G24" s="26" t="s">
        <v>19</v>
      </c>
      <c r="H24" s="13">
        <v>12013750</v>
      </c>
      <c r="I24" s="1"/>
      <c r="J24" s="1"/>
      <c r="K24" s="1"/>
      <c r="L24" s="1"/>
      <c r="M24" s="1"/>
    </row>
    <row r="25" spans="1:13" s="1" customFormat="1" ht="18.75" x14ac:dyDescent="0.25">
      <c r="G25" s="26" t="s">
        <v>44</v>
      </c>
      <c r="H25" s="13">
        <v>500000</v>
      </c>
    </row>
    <row r="26" spans="1:13" ht="21" x14ac:dyDescent="0.4">
      <c r="A26" s="1"/>
      <c r="B26" s="1"/>
      <c r="C26" s="1"/>
      <c r="D26" s="1"/>
      <c r="E26" s="1"/>
      <c r="F26" s="1"/>
      <c r="G26" s="13" t="s">
        <v>20</v>
      </c>
      <c r="H26" s="15">
        <f>H22-H23-H24-H25</f>
        <v>11111250</v>
      </c>
      <c r="I26" s="1"/>
      <c r="J26" s="1"/>
      <c r="K26" s="1"/>
      <c r="L26" s="1"/>
      <c r="M26" s="1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tabSelected="1" topLeftCell="I1" workbookViewId="0">
      <selection activeCell="M14" sqref="M14"/>
    </sheetView>
  </sheetViews>
  <sheetFormatPr defaultRowHeight="15" x14ac:dyDescent="0.2"/>
  <cols>
    <col min="2" max="2" width="12.10546875" bestFit="1" customWidth="1"/>
    <col min="3" max="3" width="17.484375" bestFit="1" customWidth="1"/>
    <col min="4" max="4" width="11.1640625" bestFit="1" customWidth="1"/>
    <col min="5" max="5" width="16.94921875" bestFit="1" customWidth="1"/>
    <col min="6" max="6" width="21.1171875" bestFit="1" customWidth="1"/>
    <col min="7" max="7" width="62.015625" bestFit="1" customWidth="1"/>
    <col min="8" max="8" width="28.11328125" bestFit="1" customWidth="1"/>
    <col min="9" max="9" width="31.07421875" bestFit="1" customWidth="1"/>
    <col min="10" max="10" width="19.7734375" bestFit="1" customWidth="1"/>
    <col min="11" max="11" width="24.88671875" bestFit="1" customWidth="1"/>
    <col min="13" max="13" width="19.7734375" bestFit="1" customWidth="1"/>
  </cols>
  <sheetData>
    <row r="1" spans="1:13" ht="30" x14ac:dyDescent="0.2">
      <c r="A1" s="22" t="s">
        <v>0</v>
      </c>
      <c r="B1" s="23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4" t="s">
        <v>12</v>
      </c>
    </row>
    <row r="2" spans="1:13" x14ac:dyDescent="0.2">
      <c r="A2" s="22">
        <v>1</v>
      </c>
      <c r="B2" s="2">
        <v>45583</v>
      </c>
      <c r="C2" s="3" t="s">
        <v>13</v>
      </c>
      <c r="D2" s="3" t="s">
        <v>48</v>
      </c>
      <c r="E2" s="3" t="s">
        <v>49</v>
      </c>
      <c r="F2" s="3" t="s">
        <v>50</v>
      </c>
      <c r="G2" s="4" t="s">
        <v>30</v>
      </c>
      <c r="H2" s="3" t="s">
        <v>26</v>
      </c>
      <c r="I2" s="3" t="s">
        <v>51</v>
      </c>
      <c r="J2" s="3">
        <v>490025801</v>
      </c>
      <c r="K2" s="3">
        <v>45000</v>
      </c>
      <c r="L2" s="16">
        <v>40</v>
      </c>
      <c r="M2" s="17">
        <f>K2*L2</f>
        <v>1800000</v>
      </c>
    </row>
    <row r="3" spans="1:13" x14ac:dyDescent="0.2">
      <c r="A3" s="22">
        <v>2</v>
      </c>
      <c r="B3" s="2">
        <v>45585</v>
      </c>
      <c r="C3" s="3" t="s">
        <v>13</v>
      </c>
      <c r="D3" s="5" t="s">
        <v>36</v>
      </c>
      <c r="E3" s="3" t="s">
        <v>49</v>
      </c>
      <c r="F3" s="3" t="s">
        <v>37</v>
      </c>
      <c r="G3" s="4" t="s">
        <v>38</v>
      </c>
      <c r="H3" s="3" t="s">
        <v>26</v>
      </c>
      <c r="I3" s="3" t="s">
        <v>52</v>
      </c>
      <c r="J3" s="3"/>
      <c r="K3" s="3">
        <v>50000</v>
      </c>
      <c r="L3" s="16">
        <v>38</v>
      </c>
      <c r="M3" s="17">
        <f t="shared" ref="M3:M6" si="0">K3*L3</f>
        <v>1900000</v>
      </c>
    </row>
    <row r="4" spans="1:13" x14ac:dyDescent="0.2">
      <c r="A4" s="22">
        <v>3</v>
      </c>
      <c r="B4" s="2">
        <v>45585</v>
      </c>
      <c r="C4" s="3" t="s">
        <v>13</v>
      </c>
      <c r="D4" s="5" t="s">
        <v>31</v>
      </c>
      <c r="E4" s="3" t="s">
        <v>49</v>
      </c>
      <c r="F4" s="3" t="s">
        <v>32</v>
      </c>
      <c r="G4" s="4" t="s">
        <v>33</v>
      </c>
      <c r="H4" s="3" t="s">
        <v>26</v>
      </c>
      <c r="I4" s="3" t="s">
        <v>52</v>
      </c>
      <c r="J4" s="3"/>
      <c r="K4" s="3">
        <v>50000</v>
      </c>
      <c r="L4" s="16">
        <v>50</v>
      </c>
      <c r="M4" s="17">
        <f t="shared" si="0"/>
        <v>2500000</v>
      </c>
    </row>
    <row r="5" spans="1:13" x14ac:dyDescent="0.2">
      <c r="A5" s="22">
        <v>4</v>
      </c>
      <c r="B5" s="2">
        <v>45585</v>
      </c>
      <c r="C5" s="3" t="s">
        <v>13</v>
      </c>
      <c r="D5" s="5" t="s">
        <v>22</v>
      </c>
      <c r="E5" s="3" t="s">
        <v>49</v>
      </c>
      <c r="F5" s="3" t="s">
        <v>24</v>
      </c>
      <c r="G5" s="4" t="s">
        <v>25</v>
      </c>
      <c r="H5" s="3" t="s">
        <v>26</v>
      </c>
      <c r="I5" s="3" t="s">
        <v>52</v>
      </c>
      <c r="J5" s="3"/>
      <c r="K5" s="3">
        <v>50000</v>
      </c>
      <c r="L5" s="16">
        <v>50</v>
      </c>
      <c r="M5" s="17">
        <f t="shared" si="0"/>
        <v>2500000</v>
      </c>
    </row>
    <row r="6" spans="1:13" s="39" customFormat="1" x14ac:dyDescent="0.2">
      <c r="A6" s="22">
        <v>5</v>
      </c>
      <c r="B6" s="2">
        <v>45579</v>
      </c>
      <c r="C6" s="3" t="s">
        <v>13</v>
      </c>
      <c r="D6" s="3" t="s">
        <v>47</v>
      </c>
      <c r="E6" s="3" t="s">
        <v>49</v>
      </c>
      <c r="F6" s="3" t="s">
        <v>64</v>
      </c>
      <c r="G6" s="4" t="s">
        <v>66</v>
      </c>
      <c r="H6" s="3" t="s">
        <v>26</v>
      </c>
      <c r="I6" s="3" t="s">
        <v>65</v>
      </c>
      <c r="J6" s="3"/>
      <c r="K6" s="3">
        <v>45000</v>
      </c>
      <c r="L6" s="16">
        <v>8</v>
      </c>
      <c r="M6" s="17">
        <f t="shared" si="0"/>
        <v>360000</v>
      </c>
    </row>
    <row r="7" spans="1:13" x14ac:dyDescent="0.2">
      <c r="A7" s="25"/>
      <c r="B7" s="2"/>
      <c r="C7" s="3"/>
      <c r="D7" s="3"/>
      <c r="E7" s="3"/>
      <c r="F7" s="3"/>
      <c r="G7" s="4"/>
      <c r="H7" s="3"/>
      <c r="I7" s="3"/>
      <c r="J7" s="3"/>
      <c r="K7" s="3"/>
      <c r="L7" s="16"/>
      <c r="M7" s="17"/>
    </row>
    <row r="8" spans="1:13" ht="18.75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9">
        <f>SUM(K2:K7)</f>
        <v>240000</v>
      </c>
      <c r="L8" s="20"/>
      <c r="M8" s="19">
        <f>SUM(M2:M7)</f>
        <v>9060000</v>
      </c>
    </row>
    <row r="9" spans="1:13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x14ac:dyDescent="0.2">
      <c r="A10" s="14"/>
      <c r="B10" s="14"/>
      <c r="C10" s="1"/>
      <c r="D10" s="1"/>
      <c r="E10" s="1"/>
      <c r="F10" s="1"/>
      <c r="G10" s="1"/>
      <c r="H10" s="14"/>
      <c r="I10" s="14"/>
      <c r="J10" s="14"/>
      <c r="K10" s="14"/>
      <c r="L10" s="14"/>
      <c r="M10" s="14"/>
    </row>
    <row r="11" spans="1:13" ht="18.75" x14ac:dyDescent="0.25">
      <c r="A11" s="14"/>
      <c r="B11" s="14"/>
      <c r="C11" s="10"/>
      <c r="D11" s="9" t="s">
        <v>0</v>
      </c>
      <c r="E11" s="9" t="s">
        <v>14</v>
      </c>
      <c r="F11" s="9" t="s">
        <v>15</v>
      </c>
      <c r="G11" s="9" t="s">
        <v>16</v>
      </c>
      <c r="H11" s="12" t="s">
        <v>61</v>
      </c>
      <c r="I11" s="9" t="s">
        <v>62</v>
      </c>
      <c r="J11" s="9" t="s">
        <v>42</v>
      </c>
      <c r="K11" s="9" t="s">
        <v>43</v>
      </c>
      <c r="L11" s="14"/>
      <c r="M11" s="14"/>
    </row>
    <row r="12" spans="1:13" s="1" customFormat="1" x14ac:dyDescent="0.2">
      <c r="A12" s="14"/>
      <c r="B12" s="14"/>
      <c r="C12" s="10"/>
      <c r="D12" s="21"/>
      <c r="E12" s="5" t="s">
        <v>36</v>
      </c>
      <c r="F12" s="7">
        <v>45588</v>
      </c>
      <c r="G12" s="5" t="s">
        <v>60</v>
      </c>
      <c r="H12" s="40">
        <v>1160000</v>
      </c>
      <c r="I12" s="6">
        <v>488000</v>
      </c>
      <c r="J12" s="27">
        <f t="shared" ref="J12:J17" si="1">I12+H12</f>
        <v>1648000</v>
      </c>
      <c r="K12" s="28">
        <v>15000</v>
      </c>
      <c r="L12" s="14"/>
      <c r="M12" s="14"/>
    </row>
    <row r="13" spans="1:13" s="1" customFormat="1" x14ac:dyDescent="0.2">
      <c r="A13" s="14"/>
      <c r="B13" s="14"/>
      <c r="C13" s="10"/>
      <c r="D13" s="21"/>
      <c r="E13" s="5" t="s">
        <v>31</v>
      </c>
      <c r="F13" s="7">
        <v>45588</v>
      </c>
      <c r="G13" s="5" t="s">
        <v>60</v>
      </c>
      <c r="H13" s="40">
        <v>1160000</v>
      </c>
      <c r="I13" s="6">
        <v>0</v>
      </c>
      <c r="J13" s="27">
        <f t="shared" si="1"/>
        <v>1160000</v>
      </c>
      <c r="K13" s="28">
        <v>15000</v>
      </c>
      <c r="L13" s="14"/>
      <c r="M13" s="14"/>
    </row>
    <row r="14" spans="1:13" s="1" customFormat="1" x14ac:dyDescent="0.2">
      <c r="A14" s="14"/>
      <c r="B14" s="14"/>
      <c r="C14" s="10"/>
      <c r="D14" s="21"/>
      <c r="E14" s="5" t="s">
        <v>22</v>
      </c>
      <c r="F14" s="7">
        <v>45588</v>
      </c>
      <c r="G14" s="5" t="s">
        <v>60</v>
      </c>
      <c r="H14" s="40">
        <v>1160000</v>
      </c>
      <c r="I14" s="6">
        <v>488000</v>
      </c>
      <c r="J14" s="27">
        <f t="shared" si="1"/>
        <v>1648000</v>
      </c>
      <c r="K14" s="28">
        <v>15000</v>
      </c>
      <c r="L14" s="14"/>
      <c r="M14" s="14"/>
    </row>
    <row r="15" spans="1:13" s="1" customFormat="1" x14ac:dyDescent="0.2">
      <c r="A15" s="14"/>
      <c r="B15" s="14"/>
      <c r="C15" s="10"/>
      <c r="D15" s="21"/>
      <c r="E15" s="5" t="s">
        <v>48</v>
      </c>
      <c r="F15" s="7">
        <v>45601</v>
      </c>
      <c r="G15" s="5" t="s">
        <v>53</v>
      </c>
      <c r="H15" s="40">
        <v>1160000</v>
      </c>
      <c r="I15" s="6"/>
      <c r="J15" s="27">
        <f t="shared" si="1"/>
        <v>1160000</v>
      </c>
      <c r="K15" s="28"/>
      <c r="L15" s="14"/>
      <c r="M15" s="14"/>
    </row>
    <row r="16" spans="1:13" s="1" customFormat="1" x14ac:dyDescent="0.2">
      <c r="A16" s="14"/>
      <c r="B16" s="14"/>
      <c r="C16" s="10"/>
      <c r="D16" s="21"/>
      <c r="E16" s="5" t="s">
        <v>47</v>
      </c>
      <c r="F16" s="7">
        <v>45609</v>
      </c>
      <c r="G16" s="5" t="s">
        <v>57</v>
      </c>
      <c r="H16" s="6">
        <v>116000</v>
      </c>
      <c r="I16" s="6"/>
      <c r="J16" s="27">
        <f t="shared" si="1"/>
        <v>116000</v>
      </c>
      <c r="K16" s="28"/>
      <c r="L16" s="14"/>
      <c r="M16" s="14"/>
    </row>
    <row r="17" spans="1:13" s="1" customFormat="1" x14ac:dyDescent="0.2">
      <c r="A17" s="14"/>
      <c r="B17" s="14"/>
      <c r="C17" s="10"/>
      <c r="D17" s="21"/>
      <c r="E17" s="5" t="s">
        <v>48</v>
      </c>
      <c r="F17" s="7">
        <v>45612</v>
      </c>
      <c r="G17" s="5" t="s">
        <v>59</v>
      </c>
      <c r="H17" s="40">
        <v>120000</v>
      </c>
      <c r="I17" s="6"/>
      <c r="J17" s="27">
        <f t="shared" si="1"/>
        <v>120000</v>
      </c>
      <c r="K17" s="28"/>
      <c r="L17" s="14"/>
      <c r="M17" s="14"/>
    </row>
    <row r="18" spans="1:13" s="1" customFormat="1" x14ac:dyDescent="0.2">
      <c r="A18" s="14"/>
      <c r="B18" s="14"/>
      <c r="C18" s="10"/>
      <c r="D18" s="21"/>
      <c r="E18" s="5"/>
      <c r="F18" s="7"/>
      <c r="G18" s="5"/>
      <c r="H18" s="6"/>
      <c r="I18" s="6"/>
      <c r="J18" s="27"/>
      <c r="K18" s="28"/>
      <c r="L18" s="14"/>
      <c r="M18" s="14"/>
    </row>
    <row r="19" spans="1:13" x14ac:dyDescent="0.2">
      <c r="A19" s="14"/>
      <c r="B19" s="14"/>
      <c r="C19" s="1"/>
      <c r="D19" s="21"/>
      <c r="E19" s="5"/>
      <c r="F19" s="2"/>
      <c r="G19" s="5"/>
      <c r="H19" s="6"/>
      <c r="I19" s="18"/>
      <c r="J19" s="21"/>
      <c r="K19" s="28"/>
      <c r="L19" s="14"/>
      <c r="M19" s="14"/>
    </row>
    <row r="20" spans="1:13" ht="21" x14ac:dyDescent="0.4">
      <c r="A20" s="1"/>
      <c r="B20" s="1"/>
      <c r="C20" s="1"/>
      <c r="D20" s="21"/>
      <c r="E20" s="9"/>
      <c r="F20" s="11"/>
      <c r="G20" s="9" t="s">
        <v>17</v>
      </c>
      <c r="H20" s="8">
        <f>SUM(H12:H19)</f>
        <v>4876000</v>
      </c>
      <c r="I20" s="29">
        <f>SUM(I12:I19)</f>
        <v>976000</v>
      </c>
      <c r="J20" s="30">
        <f>SUM(J12:J19)</f>
        <v>5852000</v>
      </c>
      <c r="K20" s="31">
        <f>SUM(K12:K19)</f>
        <v>45000</v>
      </c>
      <c r="L20" s="1"/>
      <c r="M20" s="1"/>
    </row>
    <row r="21" spans="1:13" x14ac:dyDescent="0.2">
      <c r="A21" s="1"/>
      <c r="B21" s="1"/>
      <c r="C21" s="1"/>
      <c r="D21" s="14"/>
      <c r="E21" s="14"/>
      <c r="F21" s="14"/>
      <c r="G21" s="14"/>
      <c r="H21" s="14"/>
      <c r="I21" s="1"/>
      <c r="J21" s="1"/>
      <c r="K21" s="1"/>
      <c r="L21" s="1"/>
      <c r="M21" s="1"/>
    </row>
    <row r="22" spans="1:13" x14ac:dyDescent="0.2">
      <c r="A22" s="1"/>
      <c r="B22" s="1"/>
      <c r="C22" s="1"/>
      <c r="D22" s="1"/>
      <c r="E22" s="1"/>
      <c r="I22" s="1"/>
      <c r="J22" s="1"/>
      <c r="K22" s="1"/>
      <c r="L22" s="1"/>
      <c r="M22" s="1"/>
    </row>
    <row r="23" spans="1:1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5" spans="1:13" x14ac:dyDescent="0.2">
      <c r="E25" s="5" t="s">
        <v>36</v>
      </c>
      <c r="F25" s="7">
        <v>45593</v>
      </c>
      <c r="G25" s="5" t="s">
        <v>54</v>
      </c>
      <c r="H25" s="6">
        <v>90000</v>
      </c>
    </row>
    <row r="26" spans="1:13" x14ac:dyDescent="0.2">
      <c r="E26" s="5" t="s">
        <v>55</v>
      </c>
      <c r="F26" s="7">
        <v>45594</v>
      </c>
      <c r="G26" s="5" t="s">
        <v>56</v>
      </c>
      <c r="H26" s="6">
        <v>40000</v>
      </c>
    </row>
    <row r="27" spans="1:13" x14ac:dyDescent="0.2">
      <c r="E27" s="5" t="s">
        <v>55</v>
      </c>
      <c r="F27" s="7">
        <v>45595</v>
      </c>
      <c r="G27" s="5" t="s">
        <v>63</v>
      </c>
      <c r="H27" s="6">
        <v>260000</v>
      </c>
    </row>
    <row r="28" spans="1:13" x14ac:dyDescent="0.2">
      <c r="E28" s="5" t="s">
        <v>55</v>
      </c>
      <c r="F28" s="7">
        <v>45611</v>
      </c>
      <c r="G28" s="5" t="s">
        <v>58</v>
      </c>
      <c r="H28" s="6">
        <v>400000</v>
      </c>
    </row>
    <row r="29" spans="1:13" s="1" customFormat="1" ht="21" x14ac:dyDescent="0.4">
      <c r="E29" s="5"/>
      <c r="F29" s="7"/>
      <c r="G29" s="5"/>
      <c r="H29" s="44">
        <f>SUM(H25:H28)</f>
        <v>790000</v>
      </c>
    </row>
    <row r="30" spans="1:13" s="1" customFormat="1" x14ac:dyDescent="0.2">
      <c r="E30" s="41"/>
      <c r="F30" s="42"/>
      <c r="G30" s="41"/>
      <c r="H30" s="43"/>
    </row>
    <row r="31" spans="1:13" s="1" customFormat="1" x14ac:dyDescent="0.2">
      <c r="E31" s="41"/>
      <c r="F31" s="42"/>
      <c r="G31" s="41"/>
      <c r="H31" s="43"/>
    </row>
    <row r="32" spans="1:13" s="1" customFormat="1" x14ac:dyDescent="0.2">
      <c r="E32" s="41"/>
      <c r="F32" s="42"/>
      <c r="G32" s="41"/>
      <c r="H32" s="43"/>
    </row>
    <row r="34" spans="6:8" ht="18.75" x14ac:dyDescent="0.25">
      <c r="F34" s="1"/>
      <c r="G34" s="26" t="s">
        <v>18</v>
      </c>
      <c r="H34" s="13">
        <v>9060000</v>
      </c>
    </row>
    <row r="35" spans="6:8" ht="18.75" x14ac:dyDescent="0.25">
      <c r="F35" s="1"/>
      <c r="G35" s="26" t="s">
        <v>67</v>
      </c>
      <c r="H35" s="13">
        <v>790000</v>
      </c>
    </row>
    <row r="36" spans="6:8" ht="18.75" x14ac:dyDescent="0.25">
      <c r="F36" s="1"/>
      <c r="G36" s="26" t="s">
        <v>19</v>
      </c>
      <c r="H36" s="13">
        <v>5852000</v>
      </c>
    </row>
    <row r="37" spans="6:8" ht="18.75" x14ac:dyDescent="0.25">
      <c r="F37" s="1"/>
      <c r="G37" s="26" t="s">
        <v>43</v>
      </c>
      <c r="H37" s="13">
        <v>45000</v>
      </c>
    </row>
    <row r="38" spans="6:8" ht="21" x14ac:dyDescent="0.4">
      <c r="F38" s="1"/>
      <c r="G38" s="13" t="s">
        <v>20</v>
      </c>
      <c r="H38" s="15">
        <f>H34-H35-H36-H37</f>
        <v>2373000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CHUKS</dc:creator>
  <cp:lastModifiedBy>CHUKS</cp:lastModifiedBy>
  <dcterms:created xsi:type="dcterms:W3CDTF">2024-09-18T12:12:36Z</dcterms:created>
  <dcterms:modified xsi:type="dcterms:W3CDTF">2024-11-27T15:51:04Z</dcterms:modified>
</cp:coreProperties>
</file>