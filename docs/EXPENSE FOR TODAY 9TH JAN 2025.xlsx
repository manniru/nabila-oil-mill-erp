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BILA OIL MILLS\Documents\"/>
    </mc:Choice>
  </mc:AlternateContent>
  <xr:revisionPtr revIDLastSave="0" documentId="8_{573C4344-9D7A-DD43-A013-430002C67F2C}" xr6:coauthVersionLast="47" xr6:coauthVersionMax="47" xr10:uidLastSave="{00000000-0000-0000-0000-000000000000}"/>
  <bookViews>
    <workbookView xWindow="-120" yWindow="-120" windowWidth="20730" windowHeight="11040" xr2:uid="{D4BB4791-A2D7-45F9-A27D-13647D610E4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1" l="1"/>
  <c r="F33" i="1"/>
  <c r="E34" i="1"/>
</calcChain>
</file>

<file path=xl/sharedStrings.xml><?xml version="1.0" encoding="utf-8"?>
<sst xmlns="http://schemas.openxmlformats.org/spreadsheetml/2006/main" count="104" uniqueCount="59">
  <si>
    <t>PARTICULARS</t>
  </si>
  <si>
    <t>DATE</t>
  </si>
  <si>
    <t>DESCRIPTION</t>
  </si>
  <si>
    <t>AMOUNT</t>
  </si>
  <si>
    <t>MODE OF PAYMENT</t>
  </si>
  <si>
    <t xml:space="preserve">CASH RECEIVED </t>
  </si>
  <si>
    <t>DATE RECEIVED</t>
  </si>
  <si>
    <t>RECEIVED FROM</t>
  </si>
  <si>
    <t>TRANSFER</t>
  </si>
  <si>
    <t>OPENING BALANCE</t>
  </si>
  <si>
    <t xml:space="preserve">              </t>
  </si>
  <si>
    <t xml:space="preserve">MKA720ZB </t>
  </si>
  <si>
    <t>AIRTIME</t>
  </si>
  <si>
    <t xml:space="preserve">AIRTIME RECHARGE FOR ALH. MUJITABA </t>
  </si>
  <si>
    <t>VTU</t>
  </si>
  <si>
    <t>ALH. SAFIYANU</t>
  </si>
  <si>
    <t xml:space="preserve">GML60XB </t>
  </si>
  <si>
    <t>LOAN</t>
  </si>
  <si>
    <t xml:space="preserve">TRN15XX </t>
  </si>
  <si>
    <t>SCHOOL FEES</t>
  </si>
  <si>
    <t>QURAN SCHOOL FEES FOR DECEMBER</t>
  </si>
  <si>
    <t>SET OF WHEEL BOLTS, GREASE &amp; BEARINGS @ ZARIA</t>
  </si>
  <si>
    <t>DOG</t>
  </si>
  <si>
    <t xml:space="preserve">DOG </t>
  </si>
  <si>
    <t>DOG FEED</t>
  </si>
  <si>
    <t>ROUTINE DOG TREATMENT</t>
  </si>
  <si>
    <t>ADAMU</t>
  </si>
  <si>
    <t>WEEKLY ALLOWANCE IN FAVOUR OF ADAMU FOR  WEEKS</t>
  </si>
  <si>
    <t>2 WEEKS LOAN LIQUIDATION SAVINGS</t>
  </si>
  <si>
    <t>ALH. MUJITABA</t>
  </si>
  <si>
    <t xml:space="preserve">2 WEEKS WEEKLY TRANSFER TO ALH. MUJITABA </t>
  </si>
  <si>
    <t>FRONT WHEEL HUB, GREASE, WELDING &amp; MECHANIC LABOR @ MARABAN JOS</t>
  </si>
  <si>
    <t>MECHANIC LABOR ON GEAR BOX @ MARABAN JOS</t>
  </si>
  <si>
    <t>200LTRS OF AGO @ 1,175/LTR @ SULEJA</t>
  </si>
  <si>
    <t>1 TYRE @ SULEJA</t>
  </si>
  <si>
    <t>DRIVER TRIP ALLOWANCE TO NIGER</t>
  </si>
  <si>
    <t xml:space="preserve">DKA991YF </t>
  </si>
  <si>
    <t>700LTRS OF AGO @ 1,120/LTR &amp; TRIP ALLOWANCE FROM LAGOS TO KANO</t>
  </si>
  <si>
    <t xml:space="preserve">NSR176ZU </t>
  </si>
  <si>
    <t>800LTRS OF AGO @ 1,120/LTR &amp; TRIP ALLOWANCE FROM LAGOS TO KANO</t>
  </si>
  <si>
    <t xml:space="preserve">T00073JG </t>
  </si>
  <si>
    <t xml:space="preserve">GML737XX </t>
  </si>
  <si>
    <t>300LTRS OF AGO @ 1,120/LTR &amp; TRIP ALLOWANCE FROM LAGOS TO KANO</t>
  </si>
  <si>
    <t xml:space="preserve">GML740XX </t>
  </si>
  <si>
    <t>DRIVER SIDE DOOR GLASS</t>
  </si>
  <si>
    <t xml:space="preserve">KRY191XA </t>
  </si>
  <si>
    <t>RINGS</t>
  </si>
  <si>
    <t>SLEEVES</t>
  </si>
  <si>
    <t>TOP GASKETS</t>
  </si>
  <si>
    <t>2 OIL SEAL &amp; THRUST WASHERS</t>
  </si>
  <si>
    <t>BOTTOM PLATE GASKET &amp; COVER VALVES</t>
  </si>
  <si>
    <t>OIL &amp; GAS FILTERS</t>
  </si>
  <si>
    <t>BLUE GUM, PETROL &amp; KLIN</t>
  </si>
  <si>
    <t>MECHANIC FEEDING &amp; TRANSPORT TO KADUNA FOR TRUCK REPAIR</t>
  </si>
  <si>
    <t>2 PISTONS</t>
  </si>
  <si>
    <t>CLOSING BALANCE…………….₦4,369,210.00</t>
  </si>
  <si>
    <t>DOG CARE ATTENDANT DECEMBER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</si>
</sst>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/>
      <sz val="14"/>
      <color rgb="FFFF0000"/>
      <name val="Calibri"/>
      <family val="2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1" xfId="0" applyFont="1" applyBorder="1" applyAlignment="1">
      <alignment horizontal="center"/>
    </xf>
    <xf numFmtId="43" fontId="2" fillId="0" borderId="1" xfId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43" fontId="3" fillId="0" borderId="1" xfId="1" applyFont="1" applyBorder="1" applyAlignment="1">
      <alignment horizontal="center"/>
    </xf>
    <xf numFmtId="43" fontId="4" fillId="0" borderId="1" xfId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43" fontId="8" fillId="0" borderId="1" xfId="1" applyFont="1" applyBorder="1" applyAlignment="1">
      <alignment horizontal="center"/>
    </xf>
    <xf numFmtId="43" fontId="8" fillId="0" borderId="1" xfId="0" applyNumberFormat="1" applyFont="1" applyBorder="1" applyAlignment="1">
      <alignment horizontal="center"/>
    </xf>
    <xf numFmtId="43" fontId="7" fillId="0" borderId="1" xfId="0" applyNumberFormat="1" applyFont="1" applyBorder="1" applyAlignment="1">
      <alignment horizontal="center"/>
    </xf>
  </cellXfs>
  <cellStyles count="2">
    <cellStyle name="Comma 2" xfId="1" xr:uid="{31195AC0-8F8A-4D9D-BFEA-3A9FE13107D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7FD41-4CBC-405D-85C3-39B1609EC543}">
  <dimension ref="A1:H34"/>
  <sheetViews>
    <sheetView tabSelected="1" topLeftCell="C20" workbookViewId="0">
      <selection activeCell="C7" sqref="C7"/>
    </sheetView>
  </sheetViews>
  <sheetFormatPr defaultRowHeight="15" x14ac:dyDescent="0.2"/>
  <cols>
    <col min="1" max="1" width="13.5859375" bestFit="1" customWidth="1"/>
    <col min="2" max="2" width="13.44921875" customWidth="1"/>
    <col min="3" max="3" width="62.1484375" bestFit="1" customWidth="1"/>
    <col min="4" max="4" width="19.7734375" bestFit="1" customWidth="1"/>
    <col min="5" max="5" width="18.96484375" bestFit="1" customWidth="1"/>
    <col min="6" max="6" width="19.7734375" bestFit="1" customWidth="1"/>
    <col min="7" max="7" width="18.16015625" bestFit="1" customWidth="1"/>
    <col min="8" max="8" width="18.29296875" bestFit="1" customWidth="1"/>
  </cols>
  <sheetData>
    <row r="1" spans="1:8" x14ac:dyDescent="0.2">
      <c r="A1" s="3" t="s">
        <v>0</v>
      </c>
      <c r="B1" s="3" t="s">
        <v>1</v>
      </c>
      <c r="C1" s="3" t="s">
        <v>2</v>
      </c>
      <c r="D1" s="5" t="s">
        <v>3</v>
      </c>
      <c r="E1" s="3" t="s">
        <v>4</v>
      </c>
      <c r="F1" s="6" t="s">
        <v>5</v>
      </c>
      <c r="G1" s="7" t="s">
        <v>6</v>
      </c>
      <c r="H1" s="3" t="s">
        <v>7</v>
      </c>
    </row>
    <row r="2" spans="1:8" x14ac:dyDescent="0.2">
      <c r="A2" s="1" t="s">
        <v>19</v>
      </c>
      <c r="B2" s="4">
        <v>45658</v>
      </c>
      <c r="C2" s="1" t="s">
        <v>20</v>
      </c>
      <c r="D2" s="2">
        <v>30000</v>
      </c>
      <c r="E2" s="3" t="s">
        <v>8</v>
      </c>
      <c r="F2" s="6">
        <v>3210</v>
      </c>
      <c r="G2" s="7" t="s">
        <v>9</v>
      </c>
      <c r="H2" s="3" t="s">
        <v>9</v>
      </c>
    </row>
    <row r="3" spans="1:8" x14ac:dyDescent="0.2">
      <c r="A3" s="1" t="s">
        <v>18</v>
      </c>
      <c r="B3" s="4">
        <v>45658</v>
      </c>
      <c r="C3" s="1" t="s">
        <v>21</v>
      </c>
      <c r="D3" s="2">
        <v>35500</v>
      </c>
      <c r="E3" s="3" t="s">
        <v>8</v>
      </c>
      <c r="F3" s="6">
        <v>5000000</v>
      </c>
      <c r="G3" s="8">
        <v>45870</v>
      </c>
      <c r="H3" s="3" t="s">
        <v>15</v>
      </c>
    </row>
    <row r="4" spans="1:8" x14ac:dyDescent="0.2">
      <c r="A4" s="1" t="s">
        <v>23</v>
      </c>
      <c r="B4" s="4">
        <v>45901</v>
      </c>
      <c r="C4" s="1" t="s">
        <v>24</v>
      </c>
      <c r="D4" s="2">
        <v>88000</v>
      </c>
      <c r="E4" s="3" t="s">
        <v>8</v>
      </c>
      <c r="F4" s="6">
        <v>5000000</v>
      </c>
      <c r="G4" s="8">
        <v>45901</v>
      </c>
      <c r="H4" s="3" t="s">
        <v>15</v>
      </c>
    </row>
    <row r="5" spans="1:8" x14ac:dyDescent="0.2">
      <c r="A5" s="1" t="s">
        <v>22</v>
      </c>
      <c r="B5" s="4">
        <v>45901</v>
      </c>
      <c r="C5" s="1" t="s">
        <v>25</v>
      </c>
      <c r="D5" s="2">
        <v>18000</v>
      </c>
      <c r="E5" s="3" t="s">
        <v>8</v>
      </c>
      <c r="F5" s="6"/>
      <c r="G5" s="8"/>
      <c r="H5" s="3"/>
    </row>
    <row r="6" spans="1:8" x14ac:dyDescent="0.2">
      <c r="A6" s="1" t="s">
        <v>22</v>
      </c>
      <c r="B6" s="4">
        <v>45901</v>
      </c>
      <c r="C6" s="1" t="s">
        <v>56</v>
      </c>
      <c r="D6" s="2">
        <v>20000</v>
      </c>
      <c r="E6" s="3" t="s">
        <v>8</v>
      </c>
      <c r="F6" s="6"/>
      <c r="G6" s="8"/>
      <c r="H6" s="3"/>
    </row>
    <row r="7" spans="1:8" x14ac:dyDescent="0.2">
      <c r="A7" s="1" t="s">
        <v>26</v>
      </c>
      <c r="B7" s="4">
        <v>45901</v>
      </c>
      <c r="C7" s="1" t="s">
        <v>27</v>
      </c>
      <c r="D7" s="2">
        <v>20000</v>
      </c>
      <c r="E7" s="3" t="s">
        <v>8</v>
      </c>
      <c r="F7" s="6"/>
      <c r="G7" s="8"/>
      <c r="H7" s="3"/>
    </row>
    <row r="8" spans="1:8" x14ac:dyDescent="0.2">
      <c r="A8" s="1" t="s">
        <v>17</v>
      </c>
      <c r="B8" s="4">
        <v>45901</v>
      </c>
      <c r="C8" s="1" t="s">
        <v>28</v>
      </c>
      <c r="D8" s="2">
        <v>60000</v>
      </c>
      <c r="E8" s="3" t="s">
        <v>8</v>
      </c>
      <c r="F8" s="6"/>
      <c r="G8" s="8"/>
      <c r="H8" s="3"/>
    </row>
    <row r="9" spans="1:8" x14ac:dyDescent="0.2">
      <c r="A9" s="1" t="s">
        <v>29</v>
      </c>
      <c r="B9" s="4">
        <v>45901</v>
      </c>
      <c r="C9" s="1" t="s">
        <v>30</v>
      </c>
      <c r="D9" s="2">
        <v>80000</v>
      </c>
      <c r="E9" s="3" t="s">
        <v>8</v>
      </c>
      <c r="F9" s="6"/>
      <c r="G9" s="8"/>
      <c r="H9" s="3"/>
    </row>
    <row r="10" spans="1:8" x14ac:dyDescent="0.2">
      <c r="A10" s="1" t="s">
        <v>18</v>
      </c>
      <c r="B10" s="4">
        <v>45901</v>
      </c>
      <c r="C10" s="1" t="s">
        <v>31</v>
      </c>
      <c r="D10" s="2">
        <v>125500</v>
      </c>
      <c r="E10" s="3" t="s">
        <v>8</v>
      </c>
      <c r="F10" s="5"/>
      <c r="G10" s="4"/>
      <c r="H10" s="3"/>
    </row>
    <row r="11" spans="1:8" x14ac:dyDescent="0.2">
      <c r="A11" s="1" t="s">
        <v>16</v>
      </c>
      <c r="B11" s="4">
        <v>45901</v>
      </c>
      <c r="C11" s="1" t="s">
        <v>32</v>
      </c>
      <c r="D11" s="2">
        <v>10000</v>
      </c>
      <c r="E11" s="3" t="s">
        <v>8</v>
      </c>
      <c r="F11" s="5"/>
      <c r="G11" s="4"/>
      <c r="H11" s="3"/>
    </row>
    <row r="12" spans="1:8" x14ac:dyDescent="0.2">
      <c r="A12" s="1" t="s">
        <v>16</v>
      </c>
      <c r="B12" s="4">
        <v>45901</v>
      </c>
      <c r="C12" s="1" t="s">
        <v>33</v>
      </c>
      <c r="D12" s="2">
        <v>235000</v>
      </c>
      <c r="E12" s="3" t="s">
        <v>8</v>
      </c>
      <c r="F12" s="5"/>
      <c r="G12" s="4"/>
      <c r="H12" s="3"/>
    </row>
    <row r="13" spans="1:8" x14ac:dyDescent="0.2">
      <c r="A13" s="1" t="s">
        <v>18</v>
      </c>
      <c r="B13" s="4">
        <v>45901</v>
      </c>
      <c r="C13" s="1" t="s">
        <v>33</v>
      </c>
      <c r="D13" s="2">
        <v>235000</v>
      </c>
      <c r="E13" s="3" t="s">
        <v>8</v>
      </c>
      <c r="F13" s="5"/>
      <c r="G13" s="4"/>
      <c r="H13" s="3"/>
    </row>
    <row r="14" spans="1:8" x14ac:dyDescent="0.2">
      <c r="A14" s="1" t="s">
        <v>11</v>
      </c>
      <c r="B14" s="4">
        <v>45901</v>
      </c>
      <c r="C14" s="1" t="s">
        <v>34</v>
      </c>
      <c r="D14" s="2">
        <v>285000</v>
      </c>
      <c r="E14" s="3" t="s">
        <v>8</v>
      </c>
      <c r="F14" s="5"/>
      <c r="G14" s="4"/>
      <c r="H14" s="3"/>
    </row>
    <row r="15" spans="1:8" x14ac:dyDescent="0.2">
      <c r="A15" s="1" t="s">
        <v>12</v>
      </c>
      <c r="B15" s="4">
        <v>45901</v>
      </c>
      <c r="C15" s="1" t="s">
        <v>13</v>
      </c>
      <c r="D15" s="2">
        <v>20000</v>
      </c>
      <c r="E15" s="3" t="s">
        <v>14</v>
      </c>
      <c r="F15" s="5"/>
      <c r="G15" s="4"/>
      <c r="H15" s="3"/>
    </row>
    <row r="16" spans="1:8" x14ac:dyDescent="0.2">
      <c r="A16" s="1" t="s">
        <v>11</v>
      </c>
      <c r="B16" s="4">
        <v>45901</v>
      </c>
      <c r="C16" s="1" t="s">
        <v>35</v>
      </c>
      <c r="D16" s="2">
        <v>100000</v>
      </c>
      <c r="E16" s="3" t="s">
        <v>8</v>
      </c>
      <c r="F16" s="5"/>
      <c r="G16" s="4"/>
      <c r="H16" s="3"/>
    </row>
    <row r="17" spans="1:8" x14ac:dyDescent="0.2">
      <c r="A17" s="1" t="s">
        <v>36</v>
      </c>
      <c r="B17" s="4">
        <v>45901</v>
      </c>
      <c r="C17" s="1" t="s">
        <v>37</v>
      </c>
      <c r="D17" s="2">
        <v>804000</v>
      </c>
      <c r="E17" s="3" t="s">
        <v>8</v>
      </c>
      <c r="F17" s="5"/>
      <c r="G17" s="4"/>
      <c r="H17" s="3"/>
    </row>
    <row r="18" spans="1:8" x14ac:dyDescent="0.2">
      <c r="A18" s="1" t="s">
        <v>38</v>
      </c>
      <c r="B18" s="4">
        <v>45901</v>
      </c>
      <c r="C18" s="1" t="s">
        <v>39</v>
      </c>
      <c r="D18" s="2">
        <v>916000</v>
      </c>
      <c r="E18" s="3" t="s">
        <v>8</v>
      </c>
      <c r="F18" s="5"/>
      <c r="G18" s="4"/>
      <c r="H18" s="3"/>
    </row>
    <row r="19" spans="1:8" x14ac:dyDescent="0.2">
      <c r="A19" s="1" t="s">
        <v>40</v>
      </c>
      <c r="B19" s="4">
        <v>45901</v>
      </c>
      <c r="C19" s="1" t="s">
        <v>37</v>
      </c>
      <c r="D19" s="2">
        <v>804000</v>
      </c>
      <c r="E19" s="3" t="s">
        <v>8</v>
      </c>
      <c r="F19" s="5"/>
      <c r="G19" s="4"/>
      <c r="H19" s="3"/>
    </row>
    <row r="20" spans="1:8" x14ac:dyDescent="0.2">
      <c r="A20" s="1" t="s">
        <v>41</v>
      </c>
      <c r="B20" s="4">
        <v>45901</v>
      </c>
      <c r="C20" s="1" t="s">
        <v>42</v>
      </c>
      <c r="D20" s="2">
        <v>356000</v>
      </c>
      <c r="E20" s="3" t="s">
        <v>8</v>
      </c>
      <c r="F20" s="5"/>
      <c r="G20" s="4"/>
      <c r="H20" s="3"/>
    </row>
    <row r="21" spans="1:8" x14ac:dyDescent="0.2">
      <c r="A21" s="1" t="s">
        <v>43</v>
      </c>
      <c r="B21" s="4">
        <v>45901</v>
      </c>
      <c r="C21" s="1" t="s">
        <v>37</v>
      </c>
      <c r="D21" s="2">
        <v>804000</v>
      </c>
      <c r="E21" s="3" t="s">
        <v>8</v>
      </c>
      <c r="F21" s="5"/>
      <c r="G21" s="4"/>
      <c r="H21" s="3"/>
    </row>
    <row r="22" spans="1:8" x14ac:dyDescent="0.2">
      <c r="A22" s="1" t="s">
        <v>41</v>
      </c>
      <c r="B22" s="4">
        <v>45901</v>
      </c>
      <c r="C22" s="1" t="s">
        <v>44</v>
      </c>
      <c r="D22" s="2">
        <v>20000</v>
      </c>
      <c r="E22" s="3" t="s">
        <v>8</v>
      </c>
      <c r="F22" s="5"/>
      <c r="G22" s="4"/>
      <c r="H22" s="3"/>
    </row>
    <row r="23" spans="1:8" x14ac:dyDescent="0.2">
      <c r="A23" s="1" t="s">
        <v>45</v>
      </c>
      <c r="B23" s="4">
        <v>45901</v>
      </c>
      <c r="C23" s="1" t="s">
        <v>46</v>
      </c>
      <c r="D23" s="2">
        <v>240000</v>
      </c>
      <c r="E23" s="3" t="s">
        <v>8</v>
      </c>
      <c r="F23" s="5"/>
      <c r="G23" s="4"/>
      <c r="H23" s="3"/>
    </row>
    <row r="24" spans="1:8" x14ac:dyDescent="0.2">
      <c r="A24" s="1" t="s">
        <v>45</v>
      </c>
      <c r="B24" s="4">
        <v>45901</v>
      </c>
      <c r="C24" s="1" t="s">
        <v>47</v>
      </c>
      <c r="D24" s="2">
        <v>175000</v>
      </c>
      <c r="E24" s="3" t="s">
        <v>8</v>
      </c>
      <c r="F24" s="5"/>
      <c r="G24" s="4"/>
      <c r="H24" s="3"/>
    </row>
    <row r="25" spans="1:8" x14ac:dyDescent="0.2">
      <c r="A25" s="1" t="s">
        <v>45</v>
      </c>
      <c r="B25" s="4">
        <v>45901</v>
      </c>
      <c r="C25" s="1" t="s">
        <v>48</v>
      </c>
      <c r="D25" s="2">
        <v>20000</v>
      </c>
      <c r="E25" s="3" t="s">
        <v>8</v>
      </c>
      <c r="F25" s="5"/>
      <c r="G25" s="4"/>
      <c r="H25" s="3"/>
    </row>
    <row r="26" spans="1:8" x14ac:dyDescent="0.2">
      <c r="A26" s="1" t="s">
        <v>45</v>
      </c>
      <c r="B26" s="4">
        <v>45901</v>
      </c>
      <c r="C26" s="1" t="s">
        <v>49</v>
      </c>
      <c r="D26" s="2">
        <v>18000</v>
      </c>
      <c r="E26" s="3" t="s">
        <v>8</v>
      </c>
      <c r="F26" s="5"/>
      <c r="G26" s="4"/>
      <c r="H26" s="3"/>
    </row>
    <row r="27" spans="1:8" x14ac:dyDescent="0.2">
      <c r="A27" s="1" t="s">
        <v>45</v>
      </c>
      <c r="B27" s="4">
        <v>45901</v>
      </c>
      <c r="C27" s="1" t="s">
        <v>54</v>
      </c>
      <c r="D27" s="2">
        <v>50000</v>
      </c>
      <c r="E27" s="3" t="s">
        <v>8</v>
      </c>
      <c r="F27" s="5"/>
      <c r="G27" s="4"/>
      <c r="H27" s="3"/>
    </row>
    <row r="28" spans="1:8" x14ac:dyDescent="0.2">
      <c r="A28" s="1" t="s">
        <v>45</v>
      </c>
      <c r="B28" s="4">
        <v>45901</v>
      </c>
      <c r="C28" s="1" t="s">
        <v>50</v>
      </c>
      <c r="D28" s="2">
        <v>7000</v>
      </c>
      <c r="E28" s="3" t="s">
        <v>8</v>
      </c>
      <c r="F28" s="5"/>
      <c r="G28" s="4"/>
      <c r="H28" s="3"/>
    </row>
    <row r="29" spans="1:8" x14ac:dyDescent="0.2">
      <c r="A29" s="1" t="s">
        <v>45</v>
      </c>
      <c r="B29" s="4">
        <v>45901</v>
      </c>
      <c r="C29" s="1" t="s">
        <v>51</v>
      </c>
      <c r="D29" s="2">
        <v>20000</v>
      </c>
      <c r="E29" s="3" t="s">
        <v>8</v>
      </c>
      <c r="F29" s="5"/>
      <c r="G29" s="4"/>
      <c r="H29" s="3"/>
    </row>
    <row r="30" spans="1:8" x14ac:dyDescent="0.2">
      <c r="A30" s="1" t="s">
        <v>45</v>
      </c>
      <c r="B30" s="4">
        <v>45901</v>
      </c>
      <c r="C30" s="1" t="s">
        <v>52</v>
      </c>
      <c r="D30" s="2">
        <v>23000</v>
      </c>
      <c r="E30" s="3" t="s">
        <v>8</v>
      </c>
      <c r="F30" s="5"/>
      <c r="G30" s="4"/>
      <c r="H30" s="3"/>
    </row>
    <row r="31" spans="1:8" x14ac:dyDescent="0.2">
      <c r="A31" s="1" t="s">
        <v>45</v>
      </c>
      <c r="B31" s="4">
        <v>45901</v>
      </c>
      <c r="C31" s="1" t="s">
        <v>53</v>
      </c>
      <c r="D31" s="2">
        <v>15000</v>
      </c>
      <c r="E31" s="3" t="s">
        <v>8</v>
      </c>
      <c r="F31" s="5"/>
      <c r="G31" s="4"/>
      <c r="H31" s="3"/>
    </row>
    <row r="32" spans="1:8" x14ac:dyDescent="0.2">
      <c r="A32" s="1"/>
      <c r="B32" s="4"/>
      <c r="C32" s="1"/>
      <c r="D32" s="2"/>
      <c r="E32" s="3"/>
      <c r="F32" s="5"/>
      <c r="G32" s="4"/>
      <c r="H32" s="3"/>
    </row>
    <row r="33" spans="1:8" ht="18.75" x14ac:dyDescent="0.25">
      <c r="A33" s="9"/>
      <c r="B33" s="4"/>
      <c r="C33" s="10" t="s">
        <v>10</v>
      </c>
      <c r="D33" s="11">
        <f>SUM(D2:D32)</f>
        <v>5634000</v>
      </c>
      <c r="E33" s="3"/>
      <c r="F33" s="12">
        <f>SUM(F2:F9)</f>
        <v>10003210</v>
      </c>
      <c r="G33" s="1"/>
      <c r="H33" s="9"/>
    </row>
    <row r="34" spans="1:8" ht="18.75" x14ac:dyDescent="0.25">
      <c r="A34" s="9"/>
      <c r="B34" s="4"/>
      <c r="C34" s="13" t="s">
        <v>55</v>
      </c>
      <c r="D34" s="1"/>
      <c r="E34" s="13">
        <f>F33-D33</f>
        <v>4369210</v>
      </c>
      <c r="F34" s="9"/>
      <c r="G34" s="1"/>
      <c r="H34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 OIL MILLS</dc:creator>
  <cp:lastModifiedBy>NABILA OIL MILLS</cp:lastModifiedBy>
  <dcterms:created xsi:type="dcterms:W3CDTF">2024-12-16T16:23:15Z</dcterms:created>
  <dcterms:modified xsi:type="dcterms:W3CDTF">2024-12-16T16:26:31Z</dcterms:modified>
</cp:coreProperties>
</file>